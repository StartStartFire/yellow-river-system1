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F:\Model\Temp\黄河上游水库群联合调度情景库（多年连丰、连枯情景结果）\"/>
    </mc:Choice>
  </mc:AlternateContent>
  <xr:revisionPtr revIDLastSave="0" documentId="13_ncr:1_{33AB9024-F0D1-4F98-B8A9-00439CF9F4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18-202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6" l="1"/>
  <c r="R3" i="6"/>
  <c r="R4" i="6"/>
  <c r="R5" i="6"/>
  <c r="R6" i="6"/>
  <c r="R7" i="6"/>
  <c r="R8" i="6"/>
  <c r="R9" i="6"/>
  <c r="S10" i="6" s="1"/>
  <c r="R10" i="6"/>
  <c r="R11" i="6"/>
  <c r="R12" i="6"/>
  <c r="R13" i="6"/>
  <c r="R14" i="6"/>
  <c r="R15" i="6"/>
  <c r="R16" i="6"/>
  <c r="R17" i="6"/>
  <c r="R18" i="6"/>
  <c r="R19" i="6"/>
  <c r="R20" i="6"/>
  <c r="S22" i="6" s="1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S34" i="6" s="1"/>
  <c r="R34" i="6"/>
  <c r="R35" i="6"/>
  <c r="R36" i="6"/>
  <c r="R37" i="6"/>
  <c r="R38" i="6"/>
  <c r="R39" i="6"/>
  <c r="R40" i="6"/>
  <c r="R41" i="6"/>
  <c r="R42" i="6"/>
  <c r="R43" i="6"/>
  <c r="R44" i="6"/>
  <c r="S46" i="6" s="1"/>
  <c r="R45" i="6"/>
  <c r="R46" i="6"/>
  <c r="R47" i="6"/>
  <c r="R48" i="6"/>
  <c r="R49" i="6"/>
  <c r="AG51" i="6"/>
  <c r="AF51" i="6"/>
  <c r="N51" i="6"/>
  <c r="M51" i="6"/>
  <c r="AG50" i="6"/>
  <c r="AF50" i="6"/>
  <c r="AA50" i="6"/>
  <c r="Z50" i="6"/>
  <c r="N50" i="6"/>
  <c r="M50" i="6"/>
  <c r="H50" i="6"/>
  <c r="G50" i="6"/>
  <c r="AK49" i="6"/>
  <c r="AK48" i="6"/>
  <c r="AK47" i="6"/>
  <c r="AL46" i="6"/>
  <c r="AK46" i="6"/>
  <c r="AK45" i="6"/>
  <c r="AK44" i="6"/>
  <c r="AK43" i="6"/>
  <c r="AK42" i="6"/>
  <c r="AK41" i="6"/>
  <c r="AK40" i="6"/>
  <c r="AK39" i="6"/>
  <c r="AJ39" i="6"/>
  <c r="Q39" i="6"/>
  <c r="AK38" i="6"/>
  <c r="AJ38" i="6"/>
  <c r="Q38" i="6"/>
  <c r="AK37" i="6"/>
  <c r="AK36" i="6"/>
  <c r="AK35" i="6"/>
  <c r="AL34" i="6"/>
  <c r="AK34" i="6"/>
  <c r="AK33" i="6"/>
  <c r="AK32" i="6"/>
  <c r="AK31" i="6"/>
  <c r="AK30" i="6"/>
  <c r="AK29" i="6"/>
  <c r="AK28" i="6"/>
  <c r="AK27" i="6"/>
  <c r="AJ27" i="6"/>
  <c r="Q27" i="6"/>
  <c r="AK26" i="6"/>
  <c r="AJ26" i="6"/>
  <c r="Q26" i="6"/>
  <c r="AK25" i="6"/>
  <c r="AK24" i="6"/>
  <c r="AK23" i="6"/>
  <c r="AL22" i="6"/>
  <c r="AK22" i="6"/>
  <c r="AK21" i="6"/>
  <c r="AK20" i="6"/>
  <c r="AK19" i="6"/>
  <c r="AK18" i="6"/>
  <c r="AK17" i="6"/>
  <c r="AK16" i="6"/>
  <c r="AK15" i="6"/>
  <c r="AJ15" i="6"/>
  <c r="Q15" i="6"/>
  <c r="AK14" i="6"/>
  <c r="AJ14" i="6"/>
  <c r="Q14" i="6"/>
  <c r="AK13" i="6"/>
  <c r="AK12" i="6"/>
  <c r="AK11" i="6"/>
  <c r="AL10" i="6"/>
  <c r="AK10" i="6"/>
  <c r="AK9" i="6"/>
  <c r="AK8" i="6"/>
  <c r="AK7" i="6"/>
  <c r="AK6" i="6"/>
  <c r="AK5" i="6"/>
  <c r="AK4" i="6"/>
  <c r="AK3" i="6"/>
  <c r="AJ3" i="6"/>
  <c r="Q3" i="6"/>
  <c r="AK2" i="6"/>
  <c r="AJ2" i="6"/>
  <c r="Q2" i="6"/>
</calcChain>
</file>

<file path=xl/sharedStrings.xml><?xml version="1.0" encoding="utf-8"?>
<sst xmlns="http://schemas.openxmlformats.org/spreadsheetml/2006/main" count="32" uniqueCount="17">
  <si>
    <t>年</t>
  </si>
  <si>
    <t>月</t>
  </si>
  <si>
    <t>龙入(m3/s)</t>
  </si>
  <si>
    <t>龙出(m3/s)</t>
  </si>
  <si>
    <t>龙末水位(m)</t>
  </si>
  <si>
    <t>龙出力(MW)</t>
  </si>
  <si>
    <t>龙发电量(kWh)</t>
  </si>
  <si>
    <t>龙弃水(m3/s)</t>
  </si>
  <si>
    <t>刘入(m3/s)</t>
  </si>
  <si>
    <t>刘出(m3/s)</t>
  </si>
  <si>
    <t>刘末水位(m)</t>
  </si>
  <si>
    <t>刘出力(MW)</t>
  </si>
  <si>
    <t>刘发电量(kWh)</t>
  </si>
  <si>
    <t>刘弃水(m3/s)</t>
  </si>
  <si>
    <t>兰流量(m3/s)</t>
  </si>
  <si>
    <t>兰缺水(亿m3)</t>
  </si>
  <si>
    <t>输沙偏离度(%)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</si>
</sst>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00B050"/>
      <name val="宋体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4564259976"/>
          <c:y val="9.1282298961603503E-2"/>
          <c:w val="0.86512745228880295"/>
          <c:h val="0.76005795701521395"/>
        </c:manualLayout>
      </c:layout>
      <c:lineChart>
        <c:grouping val="standard"/>
        <c:varyColors val="0"/>
        <c:ser>
          <c:idx val="0"/>
          <c:order val="0"/>
          <c:tx>
            <c:v>优化调度龙羊峡水位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'2018-2021'!$E$2:$E$49</c:f>
              <c:numCache>
                <c:formatCode>General</c:formatCode>
                <c:ptCount val="48"/>
                <c:pt idx="0">
                  <c:v>2591.3149710742</c:v>
                </c:pt>
                <c:pt idx="1">
                  <c:v>2589.3241959276202</c:v>
                </c:pt>
                <c:pt idx="2">
                  <c:v>2596.7870513979201</c:v>
                </c:pt>
                <c:pt idx="3">
                  <c:v>2599.7289211493298</c:v>
                </c:pt>
                <c:pt idx="4">
                  <c:v>2599.80213115064</c:v>
                </c:pt>
                <c:pt idx="5">
                  <c:v>2599.2248088628698</c:v>
                </c:pt>
                <c:pt idx="6">
                  <c:v>2595.6579250672198</c:v>
                </c:pt>
                <c:pt idx="7">
                  <c:v>2593.2010909748501</c:v>
                </c:pt>
                <c:pt idx="8">
                  <c:v>2585.6800949734502</c:v>
                </c:pt>
                <c:pt idx="9">
                  <c:v>2580.5961067837102</c:v>
                </c:pt>
                <c:pt idx="10">
                  <c:v>2578.1684872456599</c:v>
                </c:pt>
                <c:pt idx="11">
                  <c:v>2582.2983611576401</c:v>
                </c:pt>
                <c:pt idx="12">
                  <c:v>2587.2938925378598</c:v>
                </c:pt>
                <c:pt idx="13">
                  <c:v>2590.3638965672899</c:v>
                </c:pt>
                <c:pt idx="14">
                  <c:v>2597.31559018191</c:v>
                </c:pt>
                <c:pt idx="15">
                  <c:v>2597.2917529566998</c:v>
                </c:pt>
                <c:pt idx="16">
                  <c:v>2597.4248648067</c:v>
                </c:pt>
                <c:pt idx="17">
                  <c:v>2593.4295056558099</c:v>
                </c:pt>
                <c:pt idx="18">
                  <c:v>2587.6645433030099</c:v>
                </c:pt>
                <c:pt idx="19">
                  <c:v>2582.8389271721899</c:v>
                </c:pt>
                <c:pt idx="20">
                  <c:v>2581.8887116015799</c:v>
                </c:pt>
                <c:pt idx="21">
                  <c:v>2576.1752511957502</c:v>
                </c:pt>
                <c:pt idx="22">
                  <c:v>2574.8200114392298</c:v>
                </c:pt>
                <c:pt idx="23">
                  <c:v>2579.6170896421199</c:v>
                </c:pt>
                <c:pt idx="24">
                  <c:v>2582.80738165817</c:v>
                </c:pt>
                <c:pt idx="25">
                  <c:v>2591.1903399047001</c:v>
                </c:pt>
                <c:pt idx="26">
                  <c:v>2593.45870177606</c:v>
                </c:pt>
                <c:pt idx="27">
                  <c:v>2598.9683548620601</c:v>
                </c:pt>
                <c:pt idx="28">
                  <c:v>2598.6278773783902</c:v>
                </c:pt>
                <c:pt idx="29">
                  <c:v>2598.06850322013</c:v>
                </c:pt>
                <c:pt idx="30">
                  <c:v>2597.4924190394399</c:v>
                </c:pt>
                <c:pt idx="31">
                  <c:v>2597.0973184454401</c:v>
                </c:pt>
                <c:pt idx="32">
                  <c:v>2595.1537260356999</c:v>
                </c:pt>
                <c:pt idx="33">
                  <c:v>2595.7484606294402</c:v>
                </c:pt>
                <c:pt idx="34">
                  <c:v>2591.76241525964</c:v>
                </c:pt>
                <c:pt idx="35">
                  <c:v>2588.5781236815601</c:v>
                </c:pt>
                <c:pt idx="36">
                  <c:v>2590.91352033369</c:v>
                </c:pt>
                <c:pt idx="37">
                  <c:v>2590.2680512756101</c:v>
                </c:pt>
                <c:pt idx="38">
                  <c:v>2593.3676142618501</c:v>
                </c:pt>
                <c:pt idx="39">
                  <c:v>2598.3142292699399</c:v>
                </c:pt>
                <c:pt idx="40">
                  <c:v>2599.0896025234201</c:v>
                </c:pt>
                <c:pt idx="41">
                  <c:v>2598.45450068742</c:v>
                </c:pt>
                <c:pt idx="42">
                  <c:v>2597.6659394635199</c:v>
                </c:pt>
                <c:pt idx="43">
                  <c:v>2596.7090935103402</c:v>
                </c:pt>
                <c:pt idx="44">
                  <c:v>2595.6510936908799</c:v>
                </c:pt>
                <c:pt idx="45">
                  <c:v>2591.7178492043099</c:v>
                </c:pt>
                <c:pt idx="46">
                  <c:v>2588.3450264827602</c:v>
                </c:pt>
                <c:pt idx="47">
                  <c:v>2584.9999999840802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3-4A9B-B5DD-0C0574AE8AFE}"/>
            </c:ext>
          </c:extLst>
        </c:ser>
        <c:ser>
          <c:idx val="1"/>
          <c:order val="1"/>
          <c:tx>
            <c:v>实际调度龙羊峡水位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'2018-2021'!$X$2:$X$49</c:f>
              <c:numCache>
                <c:formatCode>General</c:formatCode>
                <c:ptCount val="48"/>
                <c:pt idx="0">
                  <c:v>2592.8100471794901</c:v>
                </c:pt>
                <c:pt idx="1">
                  <c:v>2594.8026159999999</c:v>
                </c:pt>
                <c:pt idx="2">
                  <c:v>2597.0975180487799</c:v>
                </c:pt>
                <c:pt idx="3">
                  <c:v>2598.6271580952398</c:v>
                </c:pt>
                <c:pt idx="4">
                  <c:v>2598.7834302439001</c:v>
                </c:pt>
                <c:pt idx="5">
                  <c:v>2597.0726517073199</c:v>
                </c:pt>
                <c:pt idx="6">
                  <c:v>2595.53590243902</c:v>
                </c:pt>
                <c:pt idx="7">
                  <c:v>2594.7669759999999</c:v>
                </c:pt>
                <c:pt idx="8">
                  <c:v>2593.523216</c:v>
                </c:pt>
                <c:pt idx="9">
                  <c:v>2591.4446112820501</c:v>
                </c:pt>
                <c:pt idx="10">
                  <c:v>2590.6105010526298</c:v>
                </c:pt>
                <c:pt idx="11">
                  <c:v>2592.4215958974401</c:v>
                </c:pt>
                <c:pt idx="12">
                  <c:v>2591.2858625641002</c:v>
                </c:pt>
                <c:pt idx="13">
                  <c:v>2591.4807220512798</c:v>
                </c:pt>
                <c:pt idx="14">
                  <c:v>2597.4437502439</c:v>
                </c:pt>
                <c:pt idx="15">
                  <c:v>2599.2783923809502</c:v>
                </c:pt>
                <c:pt idx="16">
                  <c:v>2599.3284409756102</c:v>
                </c:pt>
                <c:pt idx="17">
                  <c:v>2597.6641756097602</c:v>
                </c:pt>
                <c:pt idx="18">
                  <c:v>2596.0563512195099</c:v>
                </c:pt>
                <c:pt idx="19">
                  <c:v>2594.534776</c:v>
                </c:pt>
                <c:pt idx="20">
                  <c:v>2592.8100471794901</c:v>
                </c:pt>
                <c:pt idx="21">
                  <c:v>2590.6434694736799</c:v>
                </c:pt>
                <c:pt idx="22">
                  <c:v>2589.6575368421099</c:v>
                </c:pt>
                <c:pt idx="23">
                  <c:v>2591.8795368421102</c:v>
                </c:pt>
                <c:pt idx="24">
                  <c:v>2592.4818543589699</c:v>
                </c:pt>
                <c:pt idx="25">
                  <c:v>2595.3773919999999</c:v>
                </c:pt>
                <c:pt idx="26">
                  <c:v>2597.5571239024398</c:v>
                </c:pt>
                <c:pt idx="27">
                  <c:v>2600.3374034931098</c:v>
                </c:pt>
                <c:pt idx="28">
                  <c:v>2599.4895368264401</c:v>
                </c:pt>
                <c:pt idx="29">
                  <c:v>2597.8470533343998</c:v>
                </c:pt>
                <c:pt idx="30">
                  <c:v>2595.89032166776</c:v>
                </c:pt>
                <c:pt idx="31">
                  <c:v>2594.6239456677599</c:v>
                </c:pt>
                <c:pt idx="32">
                  <c:v>2593.4938642746301</c:v>
                </c:pt>
                <c:pt idx="33">
                  <c:v>2589.78277649238</c:v>
                </c:pt>
                <c:pt idx="34">
                  <c:v>2587.5555680713301</c:v>
                </c:pt>
                <c:pt idx="35">
                  <c:v>2589.11596720839</c:v>
                </c:pt>
                <c:pt idx="36">
                  <c:v>2589.5551807029101</c:v>
                </c:pt>
                <c:pt idx="37">
                  <c:v>2589.64681017659</c:v>
                </c:pt>
                <c:pt idx="38">
                  <c:v>2592.7691496677598</c:v>
                </c:pt>
                <c:pt idx="39">
                  <c:v>2596.8981284563502</c:v>
                </c:pt>
                <c:pt idx="40">
                  <c:v>2596.9487040661102</c:v>
                </c:pt>
                <c:pt idx="41">
                  <c:v>2594.57275366776</c:v>
                </c:pt>
                <c:pt idx="42">
                  <c:v>2591.5398335054001</c:v>
                </c:pt>
                <c:pt idx="43">
                  <c:v>2589.6649996502802</c:v>
                </c:pt>
                <c:pt idx="44">
                  <c:v>2587.7519196408198</c:v>
                </c:pt>
                <c:pt idx="45">
                  <c:v>2584.9793174086199</c:v>
                </c:pt>
                <c:pt idx="46">
                  <c:v>2583.0310285197402</c:v>
                </c:pt>
                <c:pt idx="47">
                  <c:v>2582.72828076316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3-4A9B-B5DD-0C0574AE8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 sz="900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 sz="900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水位</a:t>
                </a:r>
                <a:r>
                  <a:rPr lang="en-US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r>
                  <a:rPr lang="en-GB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9472748936293499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4564259976"/>
          <c:y val="9.1282298961603503E-2"/>
          <c:w val="0.86512745228880295"/>
          <c:h val="0.76005795701521395"/>
        </c:manualLayout>
      </c:layout>
      <c:lineChart>
        <c:grouping val="standard"/>
        <c:varyColors val="0"/>
        <c:ser>
          <c:idx val="0"/>
          <c:order val="0"/>
          <c:tx>
            <c:v>优化调度刘家峡水位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'2018-2021'!$K$2:$K$49</c:f>
              <c:numCache>
                <c:formatCode>General</c:formatCode>
                <c:ptCount val="48"/>
                <c:pt idx="0">
                  <c:v>1721.8361996518299</c:v>
                </c:pt>
                <c:pt idx="1">
                  <c:v>1724.39680273664</c:v>
                </c:pt>
                <c:pt idx="2">
                  <c:v>1731.71512707895</c:v>
                </c:pt>
                <c:pt idx="3">
                  <c:v>1730.41122504178</c:v>
                </c:pt>
                <c:pt idx="4">
                  <c:v>1716.7661427190601</c:v>
                </c:pt>
                <c:pt idx="5">
                  <c:v>1718.6473557607601</c:v>
                </c:pt>
                <c:pt idx="6">
                  <c:v>1714.45753438325</c:v>
                </c:pt>
                <c:pt idx="7">
                  <c:v>1714.9542980456599</c:v>
                </c:pt>
                <c:pt idx="8">
                  <c:v>1718.5485764105399</c:v>
                </c:pt>
                <c:pt idx="9">
                  <c:v>1732.66199515224</c:v>
                </c:pt>
                <c:pt idx="10">
                  <c:v>1734.97782153308</c:v>
                </c:pt>
                <c:pt idx="11">
                  <c:v>1734.90557564393</c:v>
                </c:pt>
                <c:pt idx="12">
                  <c:v>1725.1428559430601</c:v>
                </c:pt>
                <c:pt idx="13">
                  <c:v>1704.9073502051001</c:v>
                </c:pt>
                <c:pt idx="14">
                  <c:v>1722.61856254545</c:v>
                </c:pt>
                <c:pt idx="15">
                  <c:v>1730.4382174274101</c:v>
                </c:pt>
                <c:pt idx="16">
                  <c:v>1734.46137698911</c:v>
                </c:pt>
                <c:pt idx="17">
                  <c:v>1725.44066981075</c:v>
                </c:pt>
                <c:pt idx="18">
                  <c:v>1734.3656338817</c:v>
                </c:pt>
                <c:pt idx="19">
                  <c:v>1730.4178534994501</c:v>
                </c:pt>
                <c:pt idx="20">
                  <c:v>1730.3438739155299</c:v>
                </c:pt>
                <c:pt idx="21">
                  <c:v>1730.69868618945</c:v>
                </c:pt>
                <c:pt idx="22">
                  <c:v>1731.51911680133</c:v>
                </c:pt>
                <c:pt idx="23">
                  <c:v>1730.5734372433001</c:v>
                </c:pt>
                <c:pt idx="24">
                  <c:v>1723.3822001892399</c:v>
                </c:pt>
                <c:pt idx="25">
                  <c:v>1715.9589993038501</c:v>
                </c:pt>
                <c:pt idx="26">
                  <c:v>1722.05087397839</c:v>
                </c:pt>
                <c:pt idx="27">
                  <c:v>1726.4305788921499</c:v>
                </c:pt>
                <c:pt idx="28">
                  <c:v>1730.4050555798501</c:v>
                </c:pt>
                <c:pt idx="29">
                  <c:v>1727.8681668798699</c:v>
                </c:pt>
                <c:pt idx="30">
                  <c:v>1729.42886480367</c:v>
                </c:pt>
                <c:pt idx="31">
                  <c:v>1729.72677996582</c:v>
                </c:pt>
                <c:pt idx="32">
                  <c:v>1733.8340418074499</c:v>
                </c:pt>
                <c:pt idx="33">
                  <c:v>1726.87929235815</c:v>
                </c:pt>
                <c:pt idx="34">
                  <c:v>1725.9075279726801</c:v>
                </c:pt>
                <c:pt idx="35">
                  <c:v>1729.4646858128201</c:v>
                </c:pt>
                <c:pt idx="36">
                  <c:v>1721.2640708425399</c:v>
                </c:pt>
                <c:pt idx="37">
                  <c:v>1717.4514609223099</c:v>
                </c:pt>
                <c:pt idx="38">
                  <c:v>1724.1033236548799</c:v>
                </c:pt>
                <c:pt idx="39">
                  <c:v>1726.0089194274201</c:v>
                </c:pt>
                <c:pt idx="40">
                  <c:v>1727.8043088357599</c:v>
                </c:pt>
                <c:pt idx="41">
                  <c:v>1730.53756471221</c:v>
                </c:pt>
                <c:pt idx="42">
                  <c:v>1730.69245284574</c:v>
                </c:pt>
                <c:pt idx="43">
                  <c:v>1731.06347792516</c:v>
                </c:pt>
                <c:pt idx="44">
                  <c:v>1731.14256095271</c:v>
                </c:pt>
                <c:pt idx="45">
                  <c:v>1733.0173476197499</c:v>
                </c:pt>
                <c:pt idx="46">
                  <c:v>1728.0283775658199</c:v>
                </c:pt>
                <c:pt idx="47">
                  <c:v>1728.7099999183199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A-44E0-8DA4-9BD7D44104D1}"/>
            </c:ext>
          </c:extLst>
        </c:ser>
        <c:ser>
          <c:idx val="1"/>
          <c:order val="1"/>
          <c:tx>
            <c:v>实际调度刘家峡水位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'2018-2021'!$AD$2:$AD$49</c:f>
              <c:numCache>
                <c:formatCode>General</c:formatCode>
                <c:ptCount val="48"/>
                <c:pt idx="0">
                  <c:v>1733.3585837245701</c:v>
                </c:pt>
                <c:pt idx="1">
                  <c:v>1735.67897852637</c:v>
                </c:pt>
                <c:pt idx="2">
                  <c:v>1737.0737708392301</c:v>
                </c:pt>
                <c:pt idx="3">
                  <c:v>1728.83570962673</c:v>
                </c:pt>
                <c:pt idx="4">
                  <c:v>1728.31444455625</c:v>
                </c:pt>
                <c:pt idx="5">
                  <c:v>1732.71351396106</c:v>
                </c:pt>
                <c:pt idx="6">
                  <c:v>1735.5847842225901</c:v>
                </c:pt>
                <c:pt idx="7">
                  <c:v>1736.8068658357799</c:v>
                </c:pt>
                <c:pt idx="8">
                  <c:v>1736.96732890354</c:v>
                </c:pt>
                <c:pt idx="9">
                  <c:v>1734.9336580225199</c:v>
                </c:pt>
                <c:pt idx="10">
                  <c:v>1730.42455332025</c:v>
                </c:pt>
                <c:pt idx="11">
                  <c:v>1729.9606224751401</c:v>
                </c:pt>
                <c:pt idx="12">
                  <c:v>1730.33135182254</c:v>
                </c:pt>
                <c:pt idx="13">
                  <c:v>1731.39002632198</c:v>
                </c:pt>
                <c:pt idx="14">
                  <c:v>1733.6887151304099</c:v>
                </c:pt>
                <c:pt idx="15">
                  <c:v>1728.02940726728</c:v>
                </c:pt>
                <c:pt idx="16">
                  <c:v>1726.53290470959</c:v>
                </c:pt>
                <c:pt idx="17">
                  <c:v>1730.71191010282</c:v>
                </c:pt>
                <c:pt idx="18">
                  <c:v>1733.9217732065299</c:v>
                </c:pt>
                <c:pt idx="19">
                  <c:v>1736.27066752726</c:v>
                </c:pt>
                <c:pt idx="20">
                  <c:v>1737.0193305397399</c:v>
                </c:pt>
                <c:pt idx="21">
                  <c:v>1732.9078380451499</c:v>
                </c:pt>
                <c:pt idx="22">
                  <c:v>1730.09588677944</c:v>
                </c:pt>
                <c:pt idx="23">
                  <c:v>1729.41378739881</c:v>
                </c:pt>
                <c:pt idx="24">
                  <c:v>1730.5531447938199</c:v>
                </c:pt>
                <c:pt idx="25">
                  <c:v>1733.8314052729199</c:v>
                </c:pt>
                <c:pt idx="26">
                  <c:v>1734.27495187367</c:v>
                </c:pt>
                <c:pt idx="27">
                  <c:v>1728.30401370404</c:v>
                </c:pt>
                <c:pt idx="28">
                  <c:v>1728.32582194627</c:v>
                </c:pt>
                <c:pt idx="29">
                  <c:v>1731.95808163935</c:v>
                </c:pt>
                <c:pt idx="30">
                  <c:v>1734.52427576943</c:v>
                </c:pt>
                <c:pt idx="31">
                  <c:v>1736.09804431921</c:v>
                </c:pt>
                <c:pt idx="32">
                  <c:v>1738</c:v>
                </c:pt>
                <c:pt idx="33">
                  <c:v>1735.9064301030201</c:v>
                </c:pt>
                <c:pt idx="34">
                  <c:v>1730.12955795384</c:v>
                </c:pt>
                <c:pt idx="35">
                  <c:v>1725.56441694</c:v>
                </c:pt>
                <c:pt idx="36">
                  <c:v>1727.36504709575</c:v>
                </c:pt>
                <c:pt idx="37">
                  <c:v>1727.4341760320401</c:v>
                </c:pt>
                <c:pt idx="38">
                  <c:v>1727.78978352587</c:v>
                </c:pt>
                <c:pt idx="39">
                  <c:v>1725.0748365249001</c:v>
                </c:pt>
                <c:pt idx="40">
                  <c:v>1722.81905631733</c:v>
                </c:pt>
                <c:pt idx="41">
                  <c:v>1727.1915135796801</c:v>
                </c:pt>
                <c:pt idx="42">
                  <c:v>1732.0942282844501</c:v>
                </c:pt>
                <c:pt idx="43">
                  <c:v>1734.67317521272</c:v>
                </c:pt>
                <c:pt idx="44">
                  <c:v>1737.50477275251</c:v>
                </c:pt>
                <c:pt idx="45">
                  <c:v>1734.5034994274599</c:v>
                </c:pt>
                <c:pt idx="46">
                  <c:v>1729.17625042394</c:v>
                </c:pt>
                <c:pt idx="47">
                  <c:v>1724.2077711531999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A-44E0-8DA4-9BD7D441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 sz="900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 sz="900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水位</a:t>
                </a:r>
                <a:r>
                  <a:rPr lang="en-US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r>
                  <a:rPr lang="en-GB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9472748936293499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04003736821"/>
          <c:y val="9.1282298961603503E-2"/>
          <c:w val="0.87113305752035197"/>
          <c:h val="0.77454721081864297"/>
        </c:manualLayout>
      </c:layout>
      <c:lineChart>
        <c:grouping val="standard"/>
        <c:varyColors val="0"/>
        <c:ser>
          <c:idx val="0"/>
          <c:order val="0"/>
          <c:tx>
            <c:v>优化调度龙羊峡出库流量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'2018-2021'!$D$2:$D$49</c:f>
              <c:numCache>
                <c:formatCode>General</c:formatCode>
                <c:ptCount val="48"/>
                <c:pt idx="0">
                  <c:v>1407.7529091259901</c:v>
                </c:pt>
                <c:pt idx="1">
                  <c:v>1557.0562110589201</c:v>
                </c:pt>
                <c:pt idx="2">
                  <c:v>998.65659464899397</c:v>
                </c:pt>
                <c:pt idx="3">
                  <c:v>910.35711168623004</c:v>
                </c:pt>
                <c:pt idx="4">
                  <c:v>658.41149226821699</c:v>
                </c:pt>
                <c:pt idx="5">
                  <c:v>429.78321418102303</c:v>
                </c:pt>
                <c:pt idx="6">
                  <c:v>815.94149324770899</c:v>
                </c:pt>
                <c:pt idx="7">
                  <c:v>696.98651693132501</c:v>
                </c:pt>
                <c:pt idx="8">
                  <c:v>1379.15564880174</c:v>
                </c:pt>
                <c:pt idx="9">
                  <c:v>1266.80473919017</c:v>
                </c:pt>
                <c:pt idx="10">
                  <c:v>1144.07660836692</c:v>
                </c:pt>
                <c:pt idx="11">
                  <c:v>1163.8370036409699</c:v>
                </c:pt>
                <c:pt idx="12">
                  <c:v>1677.4664598880299</c:v>
                </c:pt>
                <c:pt idx="13">
                  <c:v>1240.45054638596</c:v>
                </c:pt>
                <c:pt idx="14">
                  <c:v>729.29966087505102</c:v>
                </c:pt>
                <c:pt idx="15">
                  <c:v>1394.6489181361801</c:v>
                </c:pt>
                <c:pt idx="16">
                  <c:v>720.94449903504596</c:v>
                </c:pt>
                <c:pt idx="17">
                  <c:v>930.61505562249602</c:v>
                </c:pt>
                <c:pt idx="18">
                  <c:v>1109.47333619034</c:v>
                </c:pt>
                <c:pt idx="19">
                  <c:v>981.28142654641897</c:v>
                </c:pt>
                <c:pt idx="20">
                  <c:v>442.79609084344099</c:v>
                </c:pt>
                <c:pt idx="21">
                  <c:v>1274.7842121575</c:v>
                </c:pt>
                <c:pt idx="22">
                  <c:v>1050.4229099791701</c:v>
                </c:pt>
                <c:pt idx="23">
                  <c:v>1096.2145365173201</c:v>
                </c:pt>
                <c:pt idx="24">
                  <c:v>1651.1947437050501</c:v>
                </c:pt>
                <c:pt idx="25">
                  <c:v>1384.7236475232901</c:v>
                </c:pt>
                <c:pt idx="26">
                  <c:v>1156.9239468246601</c:v>
                </c:pt>
                <c:pt idx="27">
                  <c:v>576.87074343581605</c:v>
                </c:pt>
                <c:pt idx="28">
                  <c:v>796.52044541693294</c:v>
                </c:pt>
                <c:pt idx="29">
                  <c:v>442.22205289330401</c:v>
                </c:pt>
                <c:pt idx="30">
                  <c:v>330.44069081708301</c:v>
                </c:pt>
                <c:pt idx="31">
                  <c:v>330.44069081708301</c:v>
                </c:pt>
                <c:pt idx="32">
                  <c:v>648.98527044246703</c:v>
                </c:pt>
                <c:pt idx="33">
                  <c:v>331.647205327373</c:v>
                </c:pt>
                <c:pt idx="34">
                  <c:v>1015.72778778768</c:v>
                </c:pt>
                <c:pt idx="35">
                  <c:v>1487.1600896094501</c:v>
                </c:pt>
                <c:pt idx="36">
                  <c:v>784.86666250491305</c:v>
                </c:pt>
                <c:pt idx="37">
                  <c:v>1041.49288106779</c:v>
                </c:pt>
                <c:pt idx="38">
                  <c:v>767.91292158501597</c:v>
                </c:pt>
                <c:pt idx="39">
                  <c:v>650.68481607102001</c:v>
                </c:pt>
                <c:pt idx="40">
                  <c:v>588.904025284157</c:v>
                </c:pt>
                <c:pt idx="41">
                  <c:v>404.30039500975499</c:v>
                </c:pt>
                <c:pt idx="42">
                  <c:v>340.45687791271598</c:v>
                </c:pt>
                <c:pt idx="43">
                  <c:v>384.78025373204002</c:v>
                </c:pt>
                <c:pt idx="44">
                  <c:v>490.24489537880902</c:v>
                </c:pt>
                <c:pt idx="45">
                  <c:v>942.878197018994</c:v>
                </c:pt>
                <c:pt idx="46">
                  <c:v>901.20188404658995</c:v>
                </c:pt>
                <c:pt idx="47">
                  <c:v>1284.7369094058099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3-4000-95AE-5FDBE315B3A8}"/>
            </c:ext>
          </c:extLst>
        </c:ser>
        <c:ser>
          <c:idx val="1"/>
          <c:order val="1"/>
          <c:tx>
            <c:v>实际调度龙羊峡出库流量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'2018-2021'!$W$2:$W$49</c:f>
              <c:numCache>
                <c:formatCode>General</c:formatCode>
                <c:ptCount val="48"/>
                <c:pt idx="0">
                  <c:v>1190</c:v>
                </c:pt>
                <c:pt idx="1">
                  <c:v>977</c:v>
                </c:pt>
                <c:pt idx="2">
                  <c:v>1774</c:v>
                </c:pt>
                <c:pt idx="3">
                  <c:v>1129</c:v>
                </c:pt>
                <c:pt idx="4">
                  <c:v>645</c:v>
                </c:pt>
                <c:pt idx="5">
                  <c:v>603</c:v>
                </c:pt>
                <c:pt idx="6">
                  <c:v>503</c:v>
                </c:pt>
                <c:pt idx="7">
                  <c:v>409</c:v>
                </c:pt>
                <c:pt idx="8">
                  <c:v>498</c:v>
                </c:pt>
                <c:pt idx="9">
                  <c:v>889</c:v>
                </c:pt>
                <c:pt idx="10">
                  <c:v>961</c:v>
                </c:pt>
                <c:pt idx="11">
                  <c:v>1432</c:v>
                </c:pt>
                <c:pt idx="12">
                  <c:v>2515</c:v>
                </c:pt>
                <c:pt idx="13">
                  <c:v>1645</c:v>
                </c:pt>
                <c:pt idx="14">
                  <c:v>875</c:v>
                </c:pt>
                <c:pt idx="15">
                  <c:v>1108</c:v>
                </c:pt>
                <c:pt idx="16">
                  <c:v>734</c:v>
                </c:pt>
                <c:pt idx="17">
                  <c:v>587</c:v>
                </c:pt>
                <c:pt idx="18">
                  <c:v>528</c:v>
                </c:pt>
                <c:pt idx="19">
                  <c:v>493</c:v>
                </c:pt>
                <c:pt idx="20">
                  <c:v>574</c:v>
                </c:pt>
                <c:pt idx="21">
                  <c:v>866</c:v>
                </c:pt>
                <c:pt idx="22">
                  <c:v>1031</c:v>
                </c:pt>
                <c:pt idx="23">
                  <c:v>1367</c:v>
                </c:pt>
                <c:pt idx="24">
                  <c:v>1972</c:v>
                </c:pt>
                <c:pt idx="25">
                  <c:v>2113</c:v>
                </c:pt>
                <c:pt idx="26">
                  <c:v>1157</c:v>
                </c:pt>
                <c:pt idx="27">
                  <c:v>980.03798271180801</c:v>
                </c:pt>
                <c:pt idx="28">
                  <c:v>879</c:v>
                </c:pt>
                <c:pt idx="29">
                  <c:v>610</c:v>
                </c:pt>
                <c:pt idx="30">
                  <c:v>540</c:v>
                </c:pt>
                <c:pt idx="31">
                  <c:v>479</c:v>
                </c:pt>
                <c:pt idx="32">
                  <c:v>523</c:v>
                </c:pt>
                <c:pt idx="33">
                  <c:v>980</c:v>
                </c:pt>
                <c:pt idx="34">
                  <c:v>739</c:v>
                </c:pt>
                <c:pt idx="35">
                  <c:v>791</c:v>
                </c:pt>
                <c:pt idx="36">
                  <c:v>1055</c:v>
                </c:pt>
                <c:pt idx="37">
                  <c:v>936</c:v>
                </c:pt>
                <c:pt idx="38">
                  <c:v>767</c:v>
                </c:pt>
                <c:pt idx="39">
                  <c:v>780</c:v>
                </c:pt>
                <c:pt idx="40">
                  <c:v>705</c:v>
                </c:pt>
                <c:pt idx="41">
                  <c:v>664</c:v>
                </c:pt>
                <c:pt idx="42">
                  <c:v>665</c:v>
                </c:pt>
                <c:pt idx="43">
                  <c:v>526</c:v>
                </c:pt>
                <c:pt idx="44">
                  <c:v>599</c:v>
                </c:pt>
                <c:pt idx="45">
                  <c:v>735</c:v>
                </c:pt>
                <c:pt idx="46">
                  <c:v>680</c:v>
                </c:pt>
                <c:pt idx="47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3-4000-95AE-5FDBE315B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流量</a:t>
                </a:r>
                <a:r>
                  <a:rPr lang="en-US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</a:t>
                </a:r>
                <a:r>
                  <a:rPr lang="en-GB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  <a:r>
                  <a:rPr lang="en-GB" altLang="zh-CN" sz="900" baseline="30000">
                    <a:solidFill>
                      <a:sysClr val="windowText" lastClr="000000"/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GB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62697594794672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04003736821"/>
          <c:y val="9.1282298961603503E-2"/>
          <c:w val="0.87113305752035197"/>
          <c:h val="0.77454721081864297"/>
        </c:manualLayout>
      </c:layout>
      <c:lineChart>
        <c:grouping val="standard"/>
        <c:varyColors val="0"/>
        <c:ser>
          <c:idx val="0"/>
          <c:order val="0"/>
          <c:tx>
            <c:v>优化调度刘家峡出库流量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'2018-2021'!$J$2:$J$49</c:f>
              <c:numCache>
                <c:formatCode>General</c:formatCode>
                <c:ptCount val="48"/>
                <c:pt idx="0">
                  <c:v>2361.5827682631598</c:v>
                </c:pt>
                <c:pt idx="1">
                  <c:v>2288.6213728931202</c:v>
                </c:pt>
                <c:pt idx="2">
                  <c:v>1470.9857432215599</c:v>
                </c:pt>
                <c:pt idx="3">
                  <c:v>1386.8421680926399</c:v>
                </c:pt>
                <c:pt idx="4">
                  <c:v>1422.2363604331999</c:v>
                </c:pt>
                <c:pt idx="5">
                  <c:v>537.73460438758104</c:v>
                </c:pt>
                <c:pt idx="6">
                  <c:v>1074.55493583558</c:v>
                </c:pt>
                <c:pt idx="7">
                  <c:v>781.76038606874101</c:v>
                </c:pt>
                <c:pt idx="8">
                  <c:v>1423.8461218673101</c:v>
                </c:pt>
                <c:pt idx="9">
                  <c:v>921.35331481344497</c:v>
                </c:pt>
                <c:pt idx="10">
                  <c:v>1308.22668050689</c:v>
                </c:pt>
                <c:pt idx="11">
                  <c:v>1355.4522164263799</c:v>
                </c:pt>
                <c:pt idx="12">
                  <c:v>2388.6708336238798</c:v>
                </c:pt>
                <c:pt idx="13">
                  <c:v>2033.64868245256</c:v>
                </c:pt>
                <c:pt idx="14">
                  <c:v>744.59857978620198</c:v>
                </c:pt>
                <c:pt idx="15">
                  <c:v>1404.9680238855201</c:v>
                </c:pt>
                <c:pt idx="16">
                  <c:v>714.06342698541698</c:v>
                </c:pt>
                <c:pt idx="17">
                  <c:v>1526.8968714770899</c:v>
                </c:pt>
                <c:pt idx="18">
                  <c:v>871.80231855222701</c:v>
                </c:pt>
                <c:pt idx="19">
                  <c:v>1294.71029780407</c:v>
                </c:pt>
                <c:pt idx="20">
                  <c:v>577.20150828969497</c:v>
                </c:pt>
                <c:pt idx="21">
                  <c:v>1387.8779298038701</c:v>
                </c:pt>
                <c:pt idx="22">
                  <c:v>1273.3460117285399</c:v>
                </c:pt>
                <c:pt idx="23">
                  <c:v>1360.5366873586099</c:v>
                </c:pt>
                <c:pt idx="24">
                  <c:v>2388.5715431456101</c:v>
                </c:pt>
                <c:pt idx="25">
                  <c:v>2317.9586504315698</c:v>
                </c:pt>
                <c:pt idx="26">
                  <c:v>1413.1213959391901</c:v>
                </c:pt>
                <c:pt idx="27">
                  <c:v>843.50252990561</c:v>
                </c:pt>
                <c:pt idx="28">
                  <c:v>899.42493021552298</c:v>
                </c:pt>
                <c:pt idx="29">
                  <c:v>730.29825519037695</c:v>
                </c:pt>
                <c:pt idx="30">
                  <c:v>414.85862822632998</c:v>
                </c:pt>
                <c:pt idx="31">
                  <c:v>413.963867648963</c:v>
                </c:pt>
                <c:pt idx="32">
                  <c:v>582.01936690090997</c:v>
                </c:pt>
                <c:pt idx="33">
                  <c:v>918.170385974346</c:v>
                </c:pt>
                <c:pt idx="34">
                  <c:v>1291.2399050070301</c:v>
                </c:pt>
                <c:pt idx="35">
                  <c:v>1406.3631920585001</c:v>
                </c:pt>
                <c:pt idx="36">
                  <c:v>1305.71770555225</c:v>
                </c:pt>
                <c:pt idx="37">
                  <c:v>1296.7872123068701</c:v>
                </c:pt>
                <c:pt idx="38">
                  <c:v>651.09840950691296</c:v>
                </c:pt>
                <c:pt idx="39">
                  <c:v>762.89434315004996</c:v>
                </c:pt>
                <c:pt idx="40">
                  <c:v>713.00930964245197</c:v>
                </c:pt>
                <c:pt idx="41">
                  <c:v>415.32619094219001</c:v>
                </c:pt>
                <c:pt idx="42">
                  <c:v>415.30693005392499</c:v>
                </c:pt>
                <c:pt idx="43">
                  <c:v>424.057904623139</c:v>
                </c:pt>
                <c:pt idx="44">
                  <c:v>578.57493412845997</c:v>
                </c:pt>
                <c:pt idx="45">
                  <c:v>923.07571449011198</c:v>
                </c:pt>
                <c:pt idx="46">
                  <c:v>1269.2302409744</c:v>
                </c:pt>
                <c:pt idx="47">
                  <c:v>1355.4522164263799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4-4E8D-8608-09FCE425F44E}"/>
            </c:ext>
          </c:extLst>
        </c:ser>
        <c:ser>
          <c:idx val="1"/>
          <c:order val="1"/>
          <c:tx>
            <c:v>实际调度刘家峡出库流量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'2018-2021'!$A$2:$A$49</c:f>
              <c:numCache>
                <c:formatCode>General</c:formatCode>
                <c:ptCount val="48"/>
                <c:pt idx="0">
                  <c:v>2018</c:v>
                </c:pt>
                <c:pt idx="12">
                  <c:v>2019</c:v>
                </c:pt>
                <c:pt idx="24">
                  <c:v>2020</c:v>
                </c:pt>
                <c:pt idx="36">
                  <c:v>2021</c:v>
                </c:pt>
              </c:numCache>
            </c:numRef>
          </c:cat>
          <c:val>
            <c:numRef>
              <c:f>'2018-2021'!$AC$2:$AC$49</c:f>
              <c:numCache>
                <c:formatCode>General</c:formatCode>
                <c:ptCount val="48"/>
                <c:pt idx="0">
                  <c:v>1645</c:v>
                </c:pt>
                <c:pt idx="1">
                  <c:v>1696.0237503905901</c:v>
                </c:pt>
                <c:pt idx="2">
                  <c:v>2508.0706688548598</c:v>
                </c:pt>
                <c:pt idx="3">
                  <c:v>1935</c:v>
                </c:pt>
                <c:pt idx="4">
                  <c:v>889</c:v>
                </c:pt>
                <c:pt idx="5">
                  <c:v>565</c:v>
                </c:pt>
                <c:pt idx="6">
                  <c:v>504.02044449859699</c:v>
                </c:pt>
                <c:pt idx="7">
                  <c:v>440.05534322000102</c:v>
                </c:pt>
                <c:pt idx="8">
                  <c:v>638.06924669741204</c:v>
                </c:pt>
                <c:pt idx="9">
                  <c:v>1244</c:v>
                </c:pt>
                <c:pt idx="10">
                  <c:v>1449</c:v>
                </c:pt>
                <c:pt idx="11">
                  <c:v>1642</c:v>
                </c:pt>
                <c:pt idx="12">
                  <c:v>2766</c:v>
                </c:pt>
                <c:pt idx="13">
                  <c:v>1809</c:v>
                </c:pt>
                <c:pt idx="14">
                  <c:v>1274</c:v>
                </c:pt>
                <c:pt idx="15">
                  <c:v>1712</c:v>
                </c:pt>
                <c:pt idx="16">
                  <c:v>990</c:v>
                </c:pt>
                <c:pt idx="17">
                  <c:v>588</c:v>
                </c:pt>
                <c:pt idx="18">
                  <c:v>544</c:v>
                </c:pt>
                <c:pt idx="19">
                  <c:v>462.038823036069</c:v>
                </c:pt>
                <c:pt idx="20">
                  <c:v>668.07109349794098</c:v>
                </c:pt>
                <c:pt idx="21">
                  <c:v>1202</c:v>
                </c:pt>
                <c:pt idx="22">
                  <c:v>1423</c:v>
                </c:pt>
                <c:pt idx="23">
                  <c:v>1618</c:v>
                </c:pt>
                <c:pt idx="24">
                  <c:v>2348</c:v>
                </c:pt>
                <c:pt idx="25">
                  <c:v>2645</c:v>
                </c:pt>
                <c:pt idx="26">
                  <c:v>1594</c:v>
                </c:pt>
                <c:pt idx="27">
                  <c:v>1700</c:v>
                </c:pt>
                <c:pt idx="28">
                  <c:v>1163</c:v>
                </c:pt>
                <c:pt idx="29">
                  <c:v>618</c:v>
                </c:pt>
                <c:pt idx="30">
                  <c:v>572</c:v>
                </c:pt>
                <c:pt idx="31">
                  <c:v>490.03352066324499</c:v>
                </c:pt>
                <c:pt idx="32">
                  <c:v>545.11235615671205</c:v>
                </c:pt>
                <c:pt idx="33">
                  <c:v>1354.03071957988</c:v>
                </c:pt>
                <c:pt idx="34">
                  <c:v>1247</c:v>
                </c:pt>
                <c:pt idx="35">
                  <c:v>1078</c:v>
                </c:pt>
                <c:pt idx="36">
                  <c:v>1160</c:v>
                </c:pt>
                <c:pt idx="37">
                  <c:v>1064</c:v>
                </c:pt>
                <c:pt idx="38">
                  <c:v>875</c:v>
                </c:pt>
                <c:pt idx="39">
                  <c:v>1087</c:v>
                </c:pt>
                <c:pt idx="40">
                  <c:v>1002</c:v>
                </c:pt>
                <c:pt idx="41">
                  <c:v>618</c:v>
                </c:pt>
                <c:pt idx="42">
                  <c:v>525</c:v>
                </c:pt>
                <c:pt idx="43">
                  <c:v>444</c:v>
                </c:pt>
                <c:pt idx="44">
                  <c:v>552.08837232752205</c:v>
                </c:pt>
                <c:pt idx="45">
                  <c:v>958</c:v>
                </c:pt>
                <c:pt idx="46">
                  <c:v>1068</c:v>
                </c:pt>
                <c:pt idx="47">
                  <c:v>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4-4E8D-8608-09FCE425F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 sz="900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 sz="900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流量</a:t>
                </a:r>
                <a:r>
                  <a:rPr lang="en-US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</a:t>
                </a:r>
                <a:r>
                  <a:rPr lang="en-GB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  <a:r>
                  <a:rPr lang="en-GB" altLang="zh-CN" sz="900" baseline="30000">
                    <a:solidFill>
                      <a:sysClr val="windowText" lastClr="000000"/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GB" altLang="zh-CN" sz="9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64699463205188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481965</xdr:colOff>
      <xdr:row>52</xdr:row>
      <xdr:rowOff>9525</xdr:rowOff>
    </xdr:from>
    <xdr:to>
      <xdr:col>7</xdr:col>
      <xdr:colOff>64135</xdr:colOff>
      <xdr:row>67</xdr:row>
      <xdr:rowOff>67310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550545</xdr:colOff>
      <xdr:row>51</xdr:row>
      <xdr:rowOff>139065</xdr:rowOff>
    </xdr:from>
    <xdr:to>
      <xdr:col>18</xdr:col>
      <xdr:colOff>645160</xdr:colOff>
      <xdr:row>67</xdr:row>
      <xdr:rowOff>25400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459105</xdr:colOff>
      <xdr:row>51</xdr:row>
      <xdr:rowOff>64770</xdr:rowOff>
    </xdr:from>
    <xdr:to>
      <xdr:col>12</xdr:col>
      <xdr:colOff>407035</xdr:colOff>
      <xdr:row>66</xdr:row>
      <xdr:rowOff>122555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47625</xdr:colOff>
      <xdr:row>51</xdr:row>
      <xdr:rowOff>20955</xdr:rowOff>
    </xdr:from>
    <xdr:to>
      <xdr:col>27</xdr:col>
      <xdr:colOff>715645</xdr:colOff>
      <xdr:row>66</xdr:row>
      <xdr:rowOff>90170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1"/>
  <sheetViews>
    <sheetView tabSelected="1" workbookViewId="0">
      <selection activeCell="G18" sqref="G18"/>
    </sheetView>
  </sheetViews>
  <sheetFormatPr defaultColWidth="9" defaultRowHeight="14.4" x14ac:dyDescent="0.25"/>
  <cols>
    <col min="4" max="15" width="12.6640625"/>
    <col min="17" max="20" width="13.77734375"/>
    <col min="23" max="35" width="12.6640625"/>
    <col min="36" max="38" width="13.77734375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</row>
    <row r="2" spans="1:38" x14ac:dyDescent="0.25">
      <c r="A2">
        <v>2018</v>
      </c>
      <c r="B2">
        <v>7</v>
      </c>
      <c r="C2">
        <v>2291</v>
      </c>
      <c r="D2">
        <v>1407.7529091259901</v>
      </c>
      <c r="E2">
        <v>2591.3149710742</v>
      </c>
      <c r="F2">
        <v>1280</v>
      </c>
      <c r="G2">
        <v>952320000</v>
      </c>
      <c r="H2">
        <v>6.0194472164196497</v>
      </c>
      <c r="I2">
        <v>2077.7529091259898</v>
      </c>
      <c r="J2">
        <v>2361.5827682631598</v>
      </c>
      <c r="K2">
        <v>1721.8361996518299</v>
      </c>
      <c r="L2">
        <v>1492.4304566564199</v>
      </c>
      <c r="M2">
        <v>1110368259.7523799</v>
      </c>
      <c r="N2">
        <v>13.0058488651605</v>
      </c>
      <c r="O2">
        <v>2632.6014189467101</v>
      </c>
      <c r="P2">
        <v>0</v>
      </c>
      <c r="Q2">
        <f>ABS(2600-O2)/2600*100</f>
        <v>1.25390072871962</v>
      </c>
      <c r="R2">
        <f>IF(F2+L2&gt;1000,1,0)</f>
        <v>1</v>
      </c>
      <c r="V2">
        <v>2291</v>
      </c>
      <c r="W2">
        <v>1190</v>
      </c>
      <c r="X2">
        <v>2592.8100471794901</v>
      </c>
      <c r="Y2">
        <v>1280</v>
      </c>
      <c r="Z2">
        <v>952320000</v>
      </c>
      <c r="AA2">
        <v>0.51501340805604201</v>
      </c>
      <c r="AB2">
        <v>1860</v>
      </c>
      <c r="AC2">
        <v>1645</v>
      </c>
      <c r="AD2">
        <v>1733.3585837245701</v>
      </c>
      <c r="AE2">
        <v>1391.78307156501</v>
      </c>
      <c r="AF2">
        <v>1035486605.24437</v>
      </c>
      <c r="AG2">
        <v>0</v>
      </c>
      <c r="AH2">
        <v>1916.01865068355</v>
      </c>
      <c r="AI2">
        <v>0</v>
      </c>
      <c r="AJ2">
        <f>ABS(2600-AH2)/2600*100</f>
        <v>26.3069749737096</v>
      </c>
      <c r="AK2">
        <f>IF(Y2+AE2&gt;1000,1,0)</f>
        <v>1</v>
      </c>
    </row>
    <row r="3" spans="1:38" x14ac:dyDescent="0.25">
      <c r="B3">
        <v>8</v>
      </c>
      <c r="C3">
        <v>1272</v>
      </c>
      <c r="D3">
        <v>1557.0562110589201</v>
      </c>
      <c r="E3">
        <v>2589.3241959276202</v>
      </c>
      <c r="F3">
        <v>1280</v>
      </c>
      <c r="G3">
        <v>952320000</v>
      </c>
      <c r="H3">
        <v>10.4367561023839</v>
      </c>
      <c r="I3">
        <v>2388.0562110589199</v>
      </c>
      <c r="J3">
        <v>2288.6213728931202</v>
      </c>
      <c r="K3">
        <v>1724.39680273664</v>
      </c>
      <c r="L3">
        <v>1457.44658059838</v>
      </c>
      <c r="M3">
        <v>1084340255.9651899</v>
      </c>
      <c r="N3">
        <v>11.051650851569301</v>
      </c>
      <c r="O3">
        <v>2615.6197229142999</v>
      </c>
      <c r="P3">
        <v>0</v>
      </c>
      <c r="Q3">
        <f>ABS(2600-O3)/2600*100</f>
        <v>0.60075857362691998</v>
      </c>
      <c r="R3">
        <f t="shared" ref="R3:R49" si="0">IF(F3+L3&gt;1000,1,0)</f>
        <v>1</v>
      </c>
      <c r="V3">
        <v>1272</v>
      </c>
      <c r="W3">
        <v>977</v>
      </c>
      <c r="X3">
        <v>2594.8026159999999</v>
      </c>
      <c r="Y3">
        <v>1112.0966190346001</v>
      </c>
      <c r="Z3">
        <v>827399884.56174302</v>
      </c>
      <c r="AA3">
        <v>0</v>
      </c>
      <c r="AB3">
        <v>1808</v>
      </c>
      <c r="AC3">
        <v>1696.0237503905901</v>
      </c>
      <c r="AD3">
        <v>1735.67897852637</v>
      </c>
      <c r="AE3">
        <v>1483.07014458137</v>
      </c>
      <c r="AF3">
        <v>1103404187.5685401</v>
      </c>
      <c r="AG3">
        <v>0</v>
      </c>
      <c r="AH3">
        <v>2023.02210041177</v>
      </c>
      <c r="AI3">
        <v>0</v>
      </c>
      <c r="AJ3">
        <f>ABS(2600-AH3)/2600*100</f>
        <v>22.191457676470399</v>
      </c>
      <c r="AK3">
        <f t="shared" ref="AK3:AK49" si="1">IF(Y3+AE3&gt;1000,1,0)</f>
        <v>1</v>
      </c>
    </row>
    <row r="4" spans="1:38" x14ac:dyDescent="0.25">
      <c r="B4">
        <v>9</v>
      </c>
      <c r="C4">
        <v>2132</v>
      </c>
      <c r="D4">
        <v>998.65659464899397</v>
      </c>
      <c r="E4">
        <v>2596.7870513979201</v>
      </c>
      <c r="F4">
        <v>1130.4097328366199</v>
      </c>
      <c r="G4">
        <v>813895007.64236701</v>
      </c>
      <c r="H4">
        <v>0</v>
      </c>
      <c r="I4">
        <v>1803.65659464899</v>
      </c>
      <c r="J4">
        <v>1470.9857432215599</v>
      </c>
      <c r="K4">
        <v>1731.71512707895</v>
      </c>
      <c r="L4">
        <v>1211.6943836590301</v>
      </c>
      <c r="M4">
        <v>872419956.23450398</v>
      </c>
      <c r="N4">
        <v>0</v>
      </c>
      <c r="O4">
        <v>1811.65149852933</v>
      </c>
      <c r="P4">
        <v>0</v>
      </c>
      <c r="R4">
        <f t="shared" si="0"/>
        <v>1</v>
      </c>
      <c r="V4">
        <v>2132</v>
      </c>
      <c r="W4">
        <v>1774</v>
      </c>
      <c r="X4">
        <v>2597.0975180487799</v>
      </c>
      <c r="Y4">
        <v>1280</v>
      </c>
      <c r="Z4">
        <v>921600000</v>
      </c>
      <c r="AA4">
        <v>17.426818401293801</v>
      </c>
      <c r="AB4">
        <v>2579</v>
      </c>
      <c r="AC4">
        <v>2508.0706688548598</v>
      </c>
      <c r="AD4">
        <v>1737.0737708392301</v>
      </c>
      <c r="AE4">
        <v>1660</v>
      </c>
      <c r="AF4">
        <v>1195200000</v>
      </c>
      <c r="AG4">
        <v>16.991811304180299</v>
      </c>
      <c r="AH4">
        <v>2848.7364241626201</v>
      </c>
      <c r="AI4">
        <v>0</v>
      </c>
      <c r="AK4">
        <f t="shared" si="1"/>
        <v>1</v>
      </c>
    </row>
    <row r="5" spans="1:38" x14ac:dyDescent="0.25">
      <c r="B5">
        <v>10</v>
      </c>
      <c r="C5">
        <v>1364</v>
      </c>
      <c r="D5">
        <v>910.35711168623004</v>
      </c>
      <c r="E5">
        <v>2599.7289211493298</v>
      </c>
      <c r="F5">
        <v>1071.63176672452</v>
      </c>
      <c r="G5">
        <v>797294034.44304204</v>
      </c>
      <c r="H5">
        <v>0</v>
      </c>
      <c r="I5">
        <v>1326.3571116862299</v>
      </c>
      <c r="J5">
        <v>1386.8421680926399</v>
      </c>
      <c r="K5">
        <v>1730.41122504178</v>
      </c>
      <c r="L5">
        <v>1176.7701549343501</v>
      </c>
      <c r="M5">
        <v>875516995.27116001</v>
      </c>
      <c r="N5">
        <v>0</v>
      </c>
      <c r="O5">
        <v>1640.5025970942099</v>
      </c>
      <c r="P5">
        <v>0</v>
      </c>
      <c r="R5">
        <f t="shared" si="0"/>
        <v>1</v>
      </c>
      <c r="V5">
        <v>1364</v>
      </c>
      <c r="W5">
        <v>1129</v>
      </c>
      <c r="X5">
        <v>2598.6271580952398</v>
      </c>
      <c r="Y5">
        <v>1280</v>
      </c>
      <c r="Z5">
        <v>952320000</v>
      </c>
      <c r="AA5">
        <v>0.895964634453426</v>
      </c>
      <c r="AB5">
        <v>1545</v>
      </c>
      <c r="AC5">
        <v>1935</v>
      </c>
      <c r="AD5">
        <v>1728.83570962673</v>
      </c>
      <c r="AE5">
        <v>1614.7749987561799</v>
      </c>
      <c r="AF5">
        <v>1201392599.0746</v>
      </c>
      <c r="AG5">
        <v>1.5802560000000001</v>
      </c>
      <c r="AH5">
        <v>2188.6604290015698</v>
      </c>
      <c r="AI5">
        <v>0</v>
      </c>
      <c r="AK5">
        <f t="shared" si="1"/>
        <v>1</v>
      </c>
    </row>
    <row r="6" spans="1:38" x14ac:dyDescent="0.25">
      <c r="B6">
        <v>11</v>
      </c>
      <c r="C6">
        <v>670</v>
      </c>
      <c r="D6">
        <v>658.41149226821699</v>
      </c>
      <c r="E6">
        <v>2599.80213115064</v>
      </c>
      <c r="F6">
        <v>788.65145909996102</v>
      </c>
      <c r="G6">
        <v>567829050.55197203</v>
      </c>
      <c r="H6">
        <v>0</v>
      </c>
      <c r="I6">
        <v>878.41149226821699</v>
      </c>
      <c r="J6">
        <v>1422.2363604331999</v>
      </c>
      <c r="K6">
        <v>1716.7661427190601</v>
      </c>
      <c r="L6">
        <v>1127.06661741433</v>
      </c>
      <c r="M6">
        <v>811487964.53831506</v>
      </c>
      <c r="N6">
        <v>0</v>
      </c>
      <c r="O6">
        <v>1597.13388607305</v>
      </c>
      <c r="P6">
        <v>0</v>
      </c>
      <c r="R6">
        <f t="shared" si="0"/>
        <v>1</v>
      </c>
      <c r="V6">
        <v>670</v>
      </c>
      <c r="W6">
        <v>645</v>
      </c>
      <c r="X6">
        <v>2598.7834302439001</v>
      </c>
      <c r="Y6">
        <v>767.21493448755803</v>
      </c>
      <c r="Z6">
        <v>552394752.83104205</v>
      </c>
      <c r="AA6">
        <v>0</v>
      </c>
      <c r="AB6">
        <v>865</v>
      </c>
      <c r="AC6">
        <v>889</v>
      </c>
      <c r="AD6">
        <v>1728.31444455625</v>
      </c>
      <c r="AE6">
        <v>742.08747524362195</v>
      </c>
      <c r="AF6">
        <v>534302982.17540801</v>
      </c>
      <c r="AG6">
        <v>0</v>
      </c>
      <c r="AH6">
        <v>1063.8975256398501</v>
      </c>
      <c r="AI6">
        <v>0</v>
      </c>
      <c r="AK6">
        <f t="shared" si="1"/>
        <v>1</v>
      </c>
    </row>
    <row r="7" spans="1:38" x14ac:dyDescent="0.25">
      <c r="B7">
        <v>12</v>
      </c>
      <c r="C7">
        <v>340</v>
      </c>
      <c r="D7">
        <v>429.78321418102303</v>
      </c>
      <c r="E7">
        <v>2599.2248088628698</v>
      </c>
      <c r="F7">
        <v>518.89369068736005</v>
      </c>
      <c r="G7">
        <v>386056905.87139601</v>
      </c>
      <c r="H7">
        <v>0</v>
      </c>
      <c r="I7">
        <v>593.78321418102303</v>
      </c>
      <c r="J7">
        <v>537.73460438758104</v>
      </c>
      <c r="K7">
        <v>1718.6473557607601</v>
      </c>
      <c r="L7">
        <v>405.21803850666703</v>
      </c>
      <c r="M7">
        <v>301482220.64895999</v>
      </c>
      <c r="N7">
        <v>0</v>
      </c>
      <c r="O7">
        <v>669.27853297664296</v>
      </c>
      <c r="P7">
        <v>0</v>
      </c>
      <c r="R7">
        <f t="shared" si="0"/>
        <v>0</v>
      </c>
      <c r="V7">
        <v>340</v>
      </c>
      <c r="W7">
        <v>603</v>
      </c>
      <c r="X7">
        <v>2597.0726517073199</v>
      </c>
      <c r="Y7">
        <v>714.29331967858695</v>
      </c>
      <c r="Z7">
        <v>531434229.840868</v>
      </c>
      <c r="AA7">
        <v>0</v>
      </c>
      <c r="AB7">
        <v>767</v>
      </c>
      <c r="AC7">
        <v>565</v>
      </c>
      <c r="AD7">
        <v>1732.71351396106</v>
      </c>
      <c r="AE7">
        <v>485.46228628915799</v>
      </c>
      <c r="AF7">
        <v>361183940.999134</v>
      </c>
      <c r="AG7">
        <v>0</v>
      </c>
      <c r="AH7">
        <v>696.54392858906203</v>
      </c>
      <c r="AI7">
        <v>0</v>
      </c>
      <c r="AK7">
        <f t="shared" si="1"/>
        <v>1</v>
      </c>
    </row>
    <row r="8" spans="1:38" x14ac:dyDescent="0.25">
      <c r="B8">
        <v>1</v>
      </c>
      <c r="C8">
        <v>270</v>
      </c>
      <c r="D8">
        <v>815.94149324770899</v>
      </c>
      <c r="E8">
        <v>2595.6579250672198</v>
      </c>
      <c r="F8">
        <v>957.19471483922098</v>
      </c>
      <c r="G8">
        <v>712152867.84037995</v>
      </c>
      <c r="H8">
        <v>0</v>
      </c>
      <c r="I8">
        <v>954.94149324770899</v>
      </c>
      <c r="J8">
        <v>1074.55493583558</v>
      </c>
      <c r="K8">
        <v>1714.45753438325</v>
      </c>
      <c r="L8">
        <v>786.84662507503594</v>
      </c>
      <c r="M8">
        <v>585413889.05582595</v>
      </c>
      <c r="N8">
        <v>0</v>
      </c>
      <c r="O8">
        <v>1182.66725854833</v>
      </c>
      <c r="P8">
        <v>0</v>
      </c>
      <c r="R8">
        <f t="shared" si="0"/>
        <v>1</v>
      </c>
      <c r="V8">
        <v>270</v>
      </c>
      <c r="W8">
        <v>503</v>
      </c>
      <c r="X8">
        <v>2595.53590243902</v>
      </c>
      <c r="Y8">
        <v>591.83994481070704</v>
      </c>
      <c r="Z8">
        <v>440328918.93916601</v>
      </c>
      <c r="AA8">
        <v>0</v>
      </c>
      <c r="AB8">
        <v>642</v>
      </c>
      <c r="AC8">
        <v>504.02044449859699</v>
      </c>
      <c r="AD8">
        <v>1735.5847842225901</v>
      </c>
      <c r="AE8">
        <v>449.06916714972903</v>
      </c>
      <c r="AF8">
        <v>334107460.35939902</v>
      </c>
      <c r="AG8">
        <v>0</v>
      </c>
      <c r="AH8">
        <v>612.13276721134798</v>
      </c>
      <c r="AI8">
        <v>0</v>
      </c>
      <c r="AK8">
        <f t="shared" si="1"/>
        <v>1</v>
      </c>
    </row>
    <row r="9" spans="1:38" x14ac:dyDescent="0.25">
      <c r="B9">
        <v>2</v>
      </c>
      <c r="C9">
        <v>277</v>
      </c>
      <c r="D9">
        <v>696.98651693132501</v>
      </c>
      <c r="E9">
        <v>2593.2010909748501</v>
      </c>
      <c r="F9">
        <v>803.06453990149396</v>
      </c>
      <c r="G9">
        <v>520385821.85616797</v>
      </c>
      <c r="H9">
        <v>0</v>
      </c>
      <c r="I9">
        <v>796.98651693132501</v>
      </c>
      <c r="J9">
        <v>781.76038606874101</v>
      </c>
      <c r="K9">
        <v>1714.9542980456599</v>
      </c>
      <c r="L9">
        <v>564.43573277384905</v>
      </c>
      <c r="M9">
        <v>365754354.83745402</v>
      </c>
      <c r="N9">
        <v>0</v>
      </c>
      <c r="O9">
        <v>869.66843350977399</v>
      </c>
      <c r="P9">
        <v>0</v>
      </c>
      <c r="R9">
        <f t="shared" si="0"/>
        <v>1</v>
      </c>
      <c r="V9">
        <v>277</v>
      </c>
      <c r="W9">
        <v>409</v>
      </c>
      <c r="X9">
        <v>2594.7669759999999</v>
      </c>
      <c r="Y9">
        <v>479.47129116859998</v>
      </c>
      <c r="Z9">
        <v>310697396.67725301</v>
      </c>
      <c r="AA9">
        <v>0</v>
      </c>
      <c r="AB9">
        <v>509</v>
      </c>
      <c r="AC9">
        <v>440.05534322000102</v>
      </c>
      <c r="AD9">
        <v>1736.8068658357799</v>
      </c>
      <c r="AE9">
        <v>400.66449058009198</v>
      </c>
      <c r="AF9">
        <v>259630589.89590001</v>
      </c>
      <c r="AG9">
        <v>0</v>
      </c>
      <c r="AH9">
        <v>527.96339066103405</v>
      </c>
      <c r="AI9">
        <v>0</v>
      </c>
      <c r="AK9">
        <f t="shared" si="1"/>
        <v>0</v>
      </c>
    </row>
    <row r="10" spans="1:38" x14ac:dyDescent="0.25">
      <c r="B10">
        <v>3</v>
      </c>
      <c r="C10">
        <v>313</v>
      </c>
      <c r="D10">
        <v>1379.15564880174</v>
      </c>
      <c r="E10">
        <v>2585.6800949734502</v>
      </c>
      <c r="F10">
        <v>1280</v>
      </c>
      <c r="G10">
        <v>952320000</v>
      </c>
      <c r="H10">
        <v>5.58580373644405</v>
      </c>
      <c r="I10">
        <v>1527.15564880174</v>
      </c>
      <c r="J10">
        <v>1423.8461218673101</v>
      </c>
      <c r="K10">
        <v>1718.5485764105399</v>
      </c>
      <c r="L10">
        <v>1039.1887479018201</v>
      </c>
      <c r="M10">
        <v>773156428.43895602</v>
      </c>
      <c r="N10">
        <v>0</v>
      </c>
      <c r="O10">
        <v>1505.4324706510999</v>
      </c>
      <c r="P10">
        <v>0</v>
      </c>
      <c r="R10">
        <f t="shared" si="0"/>
        <v>1</v>
      </c>
      <c r="S10">
        <f>R10+R9+R8+R7+R6</f>
        <v>4</v>
      </c>
      <c r="V10">
        <v>313</v>
      </c>
      <c r="W10">
        <v>498</v>
      </c>
      <c r="X10">
        <v>2593.523216</v>
      </c>
      <c r="Y10">
        <v>577.17183920640105</v>
      </c>
      <c r="Z10">
        <v>429415848.36956197</v>
      </c>
      <c r="AA10">
        <v>0</v>
      </c>
      <c r="AB10">
        <v>646</v>
      </c>
      <c r="AC10">
        <v>638.06924669741204</v>
      </c>
      <c r="AD10">
        <v>1736.96732890354</v>
      </c>
      <c r="AE10">
        <v>580.45938927674797</v>
      </c>
      <c r="AF10">
        <v>431861785.62190002</v>
      </c>
      <c r="AG10">
        <v>0</v>
      </c>
      <c r="AH10">
        <v>719.65559548120495</v>
      </c>
      <c r="AI10">
        <v>0</v>
      </c>
      <c r="AK10">
        <f t="shared" si="1"/>
        <v>1</v>
      </c>
      <c r="AL10">
        <f>AK10+AK9+AK8+AK7+AK6</f>
        <v>4</v>
      </c>
    </row>
    <row r="11" spans="1:38" s="1" customFormat="1" x14ac:dyDescent="0.25">
      <c r="B11" s="1">
        <v>4</v>
      </c>
      <c r="C11" s="1">
        <v>575</v>
      </c>
      <c r="D11" s="1">
        <v>1266.80473919017</v>
      </c>
      <c r="E11" s="1">
        <v>2580.5961067837102</v>
      </c>
      <c r="F11" s="1">
        <v>1252.1036077382</v>
      </c>
      <c r="G11" s="1">
        <v>901514597.57150197</v>
      </c>
      <c r="H11" s="1">
        <v>1.78929813446951</v>
      </c>
      <c r="I11" s="1">
        <v>1518.80473919017</v>
      </c>
      <c r="J11" s="1">
        <v>921.35331481344497</v>
      </c>
      <c r="K11" s="1">
        <v>1732.66199515224</v>
      </c>
      <c r="L11" s="1">
        <v>750.65510768580498</v>
      </c>
      <c r="M11" s="1">
        <v>540471677.53377998</v>
      </c>
      <c r="N11" s="1">
        <v>0</v>
      </c>
      <c r="O11" s="1">
        <v>1040.6344470419001</v>
      </c>
      <c r="P11" s="1">
        <v>0</v>
      </c>
      <c r="R11" s="1">
        <f t="shared" si="0"/>
        <v>1</v>
      </c>
      <c r="V11" s="1">
        <v>575</v>
      </c>
      <c r="W11" s="1">
        <v>889</v>
      </c>
      <c r="X11" s="1">
        <v>2591.4446112820501</v>
      </c>
      <c r="Y11" s="1">
        <v>1004.39607756726</v>
      </c>
      <c r="Z11" s="1">
        <v>723165175.84842706</v>
      </c>
      <c r="AA11" s="1">
        <v>0</v>
      </c>
      <c r="AB11" s="1">
        <v>1141</v>
      </c>
      <c r="AC11" s="1">
        <v>1244</v>
      </c>
      <c r="AD11" s="1">
        <v>1734.9336580225199</v>
      </c>
      <c r="AE11" s="1">
        <v>1107.89781660514</v>
      </c>
      <c r="AF11" s="1">
        <v>797686427.95570099</v>
      </c>
      <c r="AG11" s="1">
        <v>0</v>
      </c>
      <c r="AH11" s="1">
        <v>1363.2811322284599</v>
      </c>
      <c r="AI11" s="1">
        <v>0</v>
      </c>
      <c r="AK11" s="1">
        <f t="shared" si="1"/>
        <v>1</v>
      </c>
    </row>
    <row r="12" spans="1:38" s="1" customFormat="1" x14ac:dyDescent="0.25">
      <c r="B12" s="1">
        <v>5</v>
      </c>
      <c r="C12" s="1">
        <v>841</v>
      </c>
      <c r="D12" s="1">
        <v>1144.07660836692</v>
      </c>
      <c r="E12" s="1">
        <v>2578.1684872456599</v>
      </c>
      <c r="F12" s="1">
        <v>1160.90690437781</v>
      </c>
      <c r="G12" s="1">
        <v>863714736.85709095</v>
      </c>
      <c r="H12" s="1">
        <v>0</v>
      </c>
      <c r="I12" s="1">
        <v>1419.07660836692</v>
      </c>
      <c r="J12" s="1">
        <v>1308.22668050689</v>
      </c>
      <c r="K12" s="1">
        <v>1734.97782153308</v>
      </c>
      <c r="L12" s="1">
        <v>1141.11492198105</v>
      </c>
      <c r="M12" s="1">
        <v>848989501.95389998</v>
      </c>
      <c r="N12" s="1">
        <v>0</v>
      </c>
      <c r="O12" s="1">
        <v>1439.9237145674099</v>
      </c>
      <c r="P12" s="1">
        <v>0</v>
      </c>
      <c r="R12" s="1">
        <f t="shared" si="0"/>
        <v>1</v>
      </c>
      <c r="V12" s="1">
        <v>841</v>
      </c>
      <c r="W12" s="1">
        <v>961</v>
      </c>
      <c r="X12" s="1">
        <v>2590.6105010526298</v>
      </c>
      <c r="Y12" s="1">
        <v>1072.1159644353199</v>
      </c>
      <c r="Z12" s="1">
        <v>797654277.53987598</v>
      </c>
      <c r="AA12" s="1">
        <v>0</v>
      </c>
      <c r="AB12" s="1">
        <v>1236</v>
      </c>
      <c r="AC12" s="1">
        <v>1449</v>
      </c>
      <c r="AD12" s="1">
        <v>1730.42455332025</v>
      </c>
      <c r="AE12" s="1">
        <v>1248.34296126137</v>
      </c>
      <c r="AF12" s="1">
        <v>928767163.17846</v>
      </c>
      <c r="AG12" s="1">
        <v>0</v>
      </c>
      <c r="AH12" s="1">
        <v>1580.6970340605201</v>
      </c>
      <c r="AI12" s="1">
        <v>0</v>
      </c>
      <c r="AK12" s="1">
        <f t="shared" si="1"/>
        <v>1</v>
      </c>
    </row>
    <row r="13" spans="1:38" s="1" customFormat="1" x14ac:dyDescent="0.25">
      <c r="B13" s="1">
        <v>6</v>
      </c>
      <c r="C13" s="1">
        <v>1703</v>
      </c>
      <c r="D13" s="1">
        <v>1163.8370036409699</v>
      </c>
      <c r="E13" s="1">
        <v>2582.2983611576401</v>
      </c>
      <c r="F13" s="1">
        <v>1188.85070532903</v>
      </c>
      <c r="G13" s="1">
        <v>855972507.8369</v>
      </c>
      <c r="H13" s="1">
        <v>0</v>
      </c>
      <c r="I13" s="1">
        <v>1351.8370036409699</v>
      </c>
      <c r="J13" s="1">
        <v>1355.4522164263799</v>
      </c>
      <c r="K13" s="1">
        <v>1734.90557564393</v>
      </c>
      <c r="L13" s="1">
        <v>1194.18509953685</v>
      </c>
      <c r="M13" s="1">
        <v>859813271.66653204</v>
      </c>
      <c r="N13" s="1">
        <v>0</v>
      </c>
      <c r="O13" s="1">
        <v>1551.43221225356</v>
      </c>
      <c r="P13" s="1">
        <v>0</v>
      </c>
      <c r="R13" s="1">
        <f t="shared" si="0"/>
        <v>1</v>
      </c>
      <c r="V13" s="1">
        <v>1703</v>
      </c>
      <c r="W13" s="1">
        <v>1432</v>
      </c>
      <c r="X13" s="1">
        <v>2592.4215958974401</v>
      </c>
      <c r="Y13" s="1">
        <v>1280</v>
      </c>
      <c r="Z13" s="1">
        <v>921600000</v>
      </c>
      <c r="AA13" s="1">
        <v>7.4385123724510196</v>
      </c>
      <c r="AB13" s="1">
        <v>1620</v>
      </c>
      <c r="AC13" s="1">
        <v>1642</v>
      </c>
      <c r="AD13" s="1">
        <v>1729.9606224751401</v>
      </c>
      <c r="AE13" s="1">
        <v>1377.3279643905601</v>
      </c>
      <c r="AF13" s="1">
        <v>991676134.36120498</v>
      </c>
      <c r="AG13" s="1">
        <v>0</v>
      </c>
      <c r="AH13" s="1">
        <v>1837.9799958271799</v>
      </c>
      <c r="AI13" s="1">
        <v>0</v>
      </c>
      <c r="AK13" s="1">
        <f t="shared" si="1"/>
        <v>1</v>
      </c>
    </row>
    <row r="14" spans="1:38" x14ac:dyDescent="0.25">
      <c r="A14">
        <v>2019</v>
      </c>
      <c r="B14">
        <v>7</v>
      </c>
      <c r="C14">
        <v>2350</v>
      </c>
      <c r="D14">
        <v>1677.4664598880299</v>
      </c>
      <c r="E14">
        <v>2587.2938925378598</v>
      </c>
      <c r="F14">
        <v>1258.55441676951</v>
      </c>
      <c r="G14">
        <v>936364486.07651496</v>
      </c>
      <c r="H14">
        <v>12.788461661641</v>
      </c>
      <c r="I14">
        <v>1945.4664598880299</v>
      </c>
      <c r="J14">
        <v>2388.6708336238798</v>
      </c>
      <c r="K14">
        <v>1725.1428559430601</v>
      </c>
      <c r="L14">
        <v>1566.6347808800699</v>
      </c>
      <c r="M14">
        <v>1165576276.9747701</v>
      </c>
      <c r="N14">
        <v>13.731375607782001</v>
      </c>
      <c r="O14">
        <v>2637.9699181127999</v>
      </c>
      <c r="P14">
        <v>0</v>
      </c>
      <c r="Q14">
        <f>ABS(2600-O14)/2600*100</f>
        <v>1.4603814658769201</v>
      </c>
      <c r="R14">
        <f t="shared" si="0"/>
        <v>1</v>
      </c>
      <c r="V14">
        <v>2350</v>
      </c>
      <c r="W14">
        <v>2515</v>
      </c>
      <c r="X14">
        <v>2591.2858625641002</v>
      </c>
      <c r="Y14">
        <v>1280</v>
      </c>
      <c r="Z14">
        <v>952320000</v>
      </c>
      <c r="AA14">
        <v>35.9932256504949</v>
      </c>
      <c r="AB14">
        <v>2783</v>
      </c>
      <c r="AC14">
        <v>2766</v>
      </c>
      <c r="AD14">
        <v>1730.33135182254</v>
      </c>
      <c r="AE14">
        <v>1563.6875323434001</v>
      </c>
      <c r="AF14">
        <v>1163383524.0634899</v>
      </c>
      <c r="AG14">
        <v>23.837759999999999</v>
      </c>
      <c r="AH14">
        <v>3015.29908448892</v>
      </c>
      <c r="AI14">
        <v>0</v>
      </c>
      <c r="AJ14">
        <f>ABS(2600-AH14)/2600*100</f>
        <v>15.9730417111123</v>
      </c>
      <c r="AK14">
        <f t="shared" si="1"/>
        <v>1</v>
      </c>
    </row>
    <row r="15" spans="1:38" x14ac:dyDescent="0.25">
      <c r="B15">
        <v>8</v>
      </c>
      <c r="C15">
        <v>1673</v>
      </c>
      <c r="D15">
        <v>1240.45054638596</v>
      </c>
      <c r="E15">
        <v>2590.3638965672899</v>
      </c>
      <c r="F15">
        <v>1280</v>
      </c>
      <c r="G15">
        <v>952320000</v>
      </c>
      <c r="H15">
        <v>1.7996007330597199</v>
      </c>
      <c r="I15">
        <v>1453.45054638596</v>
      </c>
      <c r="J15">
        <v>2033.64868245256</v>
      </c>
      <c r="K15">
        <v>1704.9073502051001</v>
      </c>
      <c r="L15">
        <v>1362.92157405893</v>
      </c>
      <c r="M15">
        <v>1014013651.0998501</v>
      </c>
      <c r="N15">
        <v>4.2224623108093704</v>
      </c>
      <c r="O15">
        <v>2334.4412260065201</v>
      </c>
      <c r="P15">
        <v>0</v>
      </c>
      <c r="Q15">
        <f>ABS(2600-O15)/2600*100</f>
        <v>10.2137989997492</v>
      </c>
      <c r="R15">
        <f t="shared" si="0"/>
        <v>1</v>
      </c>
      <c r="V15">
        <v>1673</v>
      </c>
      <c r="W15">
        <v>1645</v>
      </c>
      <c r="X15">
        <v>2591.4807220512798</v>
      </c>
      <c r="Y15">
        <v>1280</v>
      </c>
      <c r="Z15">
        <v>952320000</v>
      </c>
      <c r="AA15">
        <v>12.998205510270401</v>
      </c>
      <c r="AB15">
        <v>1858</v>
      </c>
      <c r="AC15">
        <v>1809</v>
      </c>
      <c r="AD15">
        <v>1731.39002632198</v>
      </c>
      <c r="AE15">
        <v>1525.57555350595</v>
      </c>
      <c r="AF15">
        <v>1135028211.8084199</v>
      </c>
      <c r="AG15">
        <v>0</v>
      </c>
      <c r="AH15">
        <v>2109.7925435539601</v>
      </c>
      <c r="AI15">
        <v>0</v>
      </c>
      <c r="AJ15">
        <f>ABS(2600-AH15)/2600*100</f>
        <v>18.854132940232301</v>
      </c>
      <c r="AK15">
        <f t="shared" si="1"/>
        <v>1</v>
      </c>
    </row>
    <row r="16" spans="1:38" x14ac:dyDescent="0.25">
      <c r="B16">
        <v>9</v>
      </c>
      <c r="C16">
        <v>1793</v>
      </c>
      <c r="D16">
        <v>729.29966087505102</v>
      </c>
      <c r="E16">
        <v>2597.31559018191</v>
      </c>
      <c r="F16">
        <v>836.19395017579097</v>
      </c>
      <c r="G16">
        <v>602059644.12656999</v>
      </c>
      <c r="H16">
        <v>0</v>
      </c>
      <c r="I16">
        <v>1240.29966087505</v>
      </c>
      <c r="J16">
        <v>744.59857978620198</v>
      </c>
      <c r="K16">
        <v>1722.61856254545</v>
      </c>
      <c r="L16">
        <v>540.96048847115298</v>
      </c>
      <c r="M16">
        <v>389491551.69923002</v>
      </c>
      <c r="N16">
        <v>0</v>
      </c>
      <c r="O16">
        <v>1057.9632161341201</v>
      </c>
      <c r="P16">
        <v>0</v>
      </c>
      <c r="R16">
        <f t="shared" si="0"/>
        <v>1</v>
      </c>
      <c r="V16">
        <v>1793</v>
      </c>
      <c r="W16">
        <v>875</v>
      </c>
      <c r="X16">
        <v>2597.4437502439</v>
      </c>
      <c r="Y16">
        <v>1003.563289925</v>
      </c>
      <c r="Z16">
        <v>722565568.74600101</v>
      </c>
      <c r="AA16">
        <v>0</v>
      </c>
      <c r="AB16">
        <v>1386</v>
      </c>
      <c r="AC16">
        <v>1274</v>
      </c>
      <c r="AD16">
        <v>1733.6887151304099</v>
      </c>
      <c r="AE16">
        <v>1098.18551410036</v>
      </c>
      <c r="AF16">
        <v>790693570.15225804</v>
      </c>
      <c r="AG16">
        <v>0</v>
      </c>
      <c r="AH16">
        <v>1587.3646363479199</v>
      </c>
      <c r="AI16">
        <v>0</v>
      </c>
      <c r="AK16">
        <f t="shared" si="1"/>
        <v>1</v>
      </c>
    </row>
    <row r="17" spans="1:38" x14ac:dyDescent="0.25">
      <c r="B17">
        <v>10</v>
      </c>
      <c r="C17">
        <v>1391</v>
      </c>
      <c r="D17">
        <v>1394.6489181361801</v>
      </c>
      <c r="E17">
        <v>2597.2917529566998</v>
      </c>
      <c r="F17">
        <v>1280</v>
      </c>
      <c r="G17">
        <v>952320000</v>
      </c>
      <c r="H17">
        <v>7.7421161511587604</v>
      </c>
      <c r="I17">
        <v>1737.6489181361801</v>
      </c>
      <c r="J17">
        <v>1404.9680238855201</v>
      </c>
      <c r="K17">
        <v>1730.4382174274101</v>
      </c>
      <c r="L17">
        <v>1140.94346988499</v>
      </c>
      <c r="M17">
        <v>848861941.59443498</v>
      </c>
      <c r="N17">
        <v>0</v>
      </c>
      <c r="O17">
        <v>1638.29998300223</v>
      </c>
      <c r="P17">
        <v>0</v>
      </c>
      <c r="R17">
        <f t="shared" si="0"/>
        <v>1</v>
      </c>
      <c r="V17">
        <v>1391</v>
      </c>
      <c r="W17">
        <v>1108</v>
      </c>
      <c r="X17">
        <v>2599.2783923809502</v>
      </c>
      <c r="Y17">
        <v>1280</v>
      </c>
      <c r="Z17">
        <v>952320000</v>
      </c>
      <c r="AA17">
        <v>0.44888493081053998</v>
      </c>
      <c r="AB17">
        <v>1451</v>
      </c>
      <c r="AC17">
        <v>1712</v>
      </c>
      <c r="AD17">
        <v>1728.02940726728</v>
      </c>
      <c r="AE17">
        <v>1445.53929392239</v>
      </c>
      <c r="AF17">
        <v>1075481234.6782601</v>
      </c>
      <c r="AG17">
        <v>0</v>
      </c>
      <c r="AH17">
        <v>1945.3319591167101</v>
      </c>
      <c r="AI17">
        <v>0</v>
      </c>
      <c r="AK17">
        <f t="shared" si="1"/>
        <v>1</v>
      </c>
    </row>
    <row r="18" spans="1:38" x14ac:dyDescent="0.25">
      <c r="B18">
        <v>11</v>
      </c>
      <c r="C18">
        <v>742</v>
      </c>
      <c r="D18">
        <v>720.94449903504596</v>
      </c>
      <c r="E18">
        <v>2597.4248648067</v>
      </c>
      <c r="F18">
        <v>847.54051793564099</v>
      </c>
      <c r="G18">
        <v>610229172.913661</v>
      </c>
      <c r="H18">
        <v>0</v>
      </c>
      <c r="I18">
        <v>909.94449903504596</v>
      </c>
      <c r="J18">
        <v>714.06342698541698</v>
      </c>
      <c r="K18">
        <v>1734.46137698911</v>
      </c>
      <c r="L18">
        <v>621.92685269211495</v>
      </c>
      <c r="M18">
        <v>447787333.93832302</v>
      </c>
      <c r="N18">
        <v>0</v>
      </c>
      <c r="O18">
        <v>878.82102960996099</v>
      </c>
      <c r="P18">
        <v>0</v>
      </c>
      <c r="R18">
        <f t="shared" si="0"/>
        <v>1</v>
      </c>
      <c r="V18">
        <v>742</v>
      </c>
      <c r="W18">
        <v>734</v>
      </c>
      <c r="X18">
        <v>2599.3284409756102</v>
      </c>
      <c r="Y18">
        <v>874.39490410673204</v>
      </c>
      <c r="Z18">
        <v>629564330.95684695</v>
      </c>
      <c r="AA18">
        <v>0</v>
      </c>
      <c r="AB18">
        <v>923</v>
      </c>
      <c r="AC18">
        <v>990</v>
      </c>
      <c r="AD18">
        <v>1726.53290470959</v>
      </c>
      <c r="AE18">
        <v>813.584594212512</v>
      </c>
      <c r="AF18">
        <v>585780907.833009</v>
      </c>
      <c r="AG18">
        <v>0</v>
      </c>
      <c r="AH18">
        <v>1154.7576026245399</v>
      </c>
      <c r="AI18">
        <v>0</v>
      </c>
      <c r="AK18">
        <f t="shared" si="1"/>
        <v>1</v>
      </c>
    </row>
    <row r="19" spans="1:38" x14ac:dyDescent="0.25">
      <c r="B19">
        <v>12</v>
      </c>
      <c r="C19">
        <v>330</v>
      </c>
      <c r="D19">
        <v>930.61505562249602</v>
      </c>
      <c r="E19">
        <v>2593.4295056558099</v>
      </c>
      <c r="F19">
        <v>1073.1601497801801</v>
      </c>
      <c r="G19">
        <v>798431151.43645597</v>
      </c>
      <c r="H19">
        <v>0</v>
      </c>
      <c r="I19">
        <v>1117.6150556225</v>
      </c>
      <c r="J19">
        <v>1526.8968714770899</v>
      </c>
      <c r="K19">
        <v>1725.44066981075</v>
      </c>
      <c r="L19">
        <v>1281.2848786352899</v>
      </c>
      <c r="M19">
        <v>953275949.70465302</v>
      </c>
      <c r="N19">
        <v>0</v>
      </c>
      <c r="O19">
        <v>1650.81436107484</v>
      </c>
      <c r="P19">
        <v>0</v>
      </c>
      <c r="R19">
        <f t="shared" si="0"/>
        <v>1</v>
      </c>
      <c r="V19">
        <v>330</v>
      </c>
      <c r="W19">
        <v>587</v>
      </c>
      <c r="X19">
        <v>2597.6641756097602</v>
      </c>
      <c r="Y19">
        <v>698.59335357851398</v>
      </c>
      <c r="Z19">
        <v>519753455.06241399</v>
      </c>
      <c r="AA19">
        <v>0</v>
      </c>
      <c r="AB19">
        <v>774</v>
      </c>
      <c r="AC19">
        <v>588</v>
      </c>
      <c r="AD19">
        <v>1730.71191010282</v>
      </c>
      <c r="AE19">
        <v>495.63214952854202</v>
      </c>
      <c r="AF19">
        <v>368750319.24923497</v>
      </c>
      <c r="AG19">
        <v>0</v>
      </c>
      <c r="AH19">
        <v>711.91748959774702</v>
      </c>
      <c r="AI19">
        <v>0</v>
      </c>
      <c r="AK19">
        <f t="shared" si="1"/>
        <v>1</v>
      </c>
    </row>
    <row r="20" spans="1:38" x14ac:dyDescent="0.25">
      <c r="B20">
        <v>1</v>
      </c>
      <c r="C20">
        <v>283</v>
      </c>
      <c r="D20">
        <v>1109.47333619034</v>
      </c>
      <c r="E20">
        <v>2587.6645433030099</v>
      </c>
      <c r="F20">
        <v>1229.7514120701301</v>
      </c>
      <c r="G20">
        <v>914935050.58017802</v>
      </c>
      <c r="H20">
        <v>0</v>
      </c>
      <c r="I20">
        <v>1276.47333619034</v>
      </c>
      <c r="J20">
        <v>871.80231855222701</v>
      </c>
      <c r="K20">
        <v>1734.3656338817</v>
      </c>
      <c r="L20">
        <v>738.80418058010196</v>
      </c>
      <c r="M20">
        <v>549670310.351596</v>
      </c>
      <c r="N20">
        <v>0</v>
      </c>
      <c r="O20">
        <v>973.64668163946101</v>
      </c>
      <c r="P20">
        <v>0</v>
      </c>
      <c r="R20">
        <f t="shared" si="0"/>
        <v>1</v>
      </c>
      <c r="V20">
        <v>283</v>
      </c>
      <c r="W20">
        <v>528</v>
      </c>
      <c r="X20">
        <v>2596.0563512195099</v>
      </c>
      <c r="Y20">
        <v>622.95781795902599</v>
      </c>
      <c r="Z20">
        <v>463480616.56151497</v>
      </c>
      <c r="AA20">
        <v>0</v>
      </c>
      <c r="AB20">
        <v>695</v>
      </c>
      <c r="AC20">
        <v>544</v>
      </c>
      <c r="AD20">
        <v>1733.9217732065299</v>
      </c>
      <c r="AE20">
        <v>475.80269825025499</v>
      </c>
      <c r="AF20">
        <v>353997207.49818999</v>
      </c>
      <c r="AG20">
        <v>0</v>
      </c>
      <c r="AH20">
        <v>645.844363087234</v>
      </c>
      <c r="AI20">
        <v>0</v>
      </c>
      <c r="AK20">
        <f t="shared" si="1"/>
        <v>1</v>
      </c>
    </row>
    <row r="21" spans="1:38" x14ac:dyDescent="0.25">
      <c r="B21">
        <v>2</v>
      </c>
      <c r="C21">
        <v>231</v>
      </c>
      <c r="D21">
        <v>981.28142654641897</v>
      </c>
      <c r="E21">
        <v>2582.8389271721899</v>
      </c>
      <c r="F21">
        <v>1047.4001969946301</v>
      </c>
      <c r="G21">
        <v>678715327.65252197</v>
      </c>
      <c r="H21">
        <v>0</v>
      </c>
      <c r="I21">
        <v>1081.2814265464201</v>
      </c>
      <c r="J21">
        <v>1294.71029780407</v>
      </c>
      <c r="K21">
        <v>1730.4178534994501</v>
      </c>
      <c r="L21">
        <v>1114.32830152407</v>
      </c>
      <c r="M21">
        <v>722084739.38759804</v>
      </c>
      <c r="N21">
        <v>0</v>
      </c>
      <c r="O21">
        <v>1377.5217560840099</v>
      </c>
      <c r="P21">
        <v>0</v>
      </c>
      <c r="R21">
        <f t="shared" si="0"/>
        <v>1</v>
      </c>
      <c r="V21">
        <v>231</v>
      </c>
      <c r="W21">
        <v>493</v>
      </c>
      <c r="X21">
        <v>2594.534776</v>
      </c>
      <c r="Y21">
        <v>576.22552355420203</v>
      </c>
      <c r="Z21">
        <v>373394139.26312298</v>
      </c>
      <c r="AA21">
        <v>0</v>
      </c>
      <c r="AB21">
        <v>593</v>
      </c>
      <c r="AC21">
        <v>462.038823036069</v>
      </c>
      <c r="AD21">
        <v>1736.27066752726</v>
      </c>
      <c r="AE21">
        <v>416.06728145679398</v>
      </c>
      <c r="AF21">
        <v>269611598.38400298</v>
      </c>
      <c r="AG21">
        <v>0</v>
      </c>
      <c r="AH21">
        <v>544.85028131600802</v>
      </c>
      <c r="AI21">
        <v>0</v>
      </c>
      <c r="AK21">
        <f t="shared" si="1"/>
        <v>0</v>
      </c>
    </row>
    <row r="22" spans="1:38" x14ac:dyDescent="0.25">
      <c r="B22">
        <v>3</v>
      </c>
      <c r="C22">
        <v>319</v>
      </c>
      <c r="D22">
        <v>442.79609084344099</v>
      </c>
      <c r="E22">
        <v>2581.8887116015799</v>
      </c>
      <c r="F22">
        <v>471.25853961529299</v>
      </c>
      <c r="G22">
        <v>350616353.47377801</v>
      </c>
      <c r="H22">
        <v>0</v>
      </c>
      <c r="I22">
        <v>573.79609084344099</v>
      </c>
      <c r="J22">
        <v>577.20150828969497</v>
      </c>
      <c r="K22">
        <v>1730.3438739155299</v>
      </c>
      <c r="L22">
        <v>494.93791405466402</v>
      </c>
      <c r="M22">
        <v>368233808.05667001</v>
      </c>
      <c r="N22">
        <v>0</v>
      </c>
      <c r="O22">
        <v>654.057777029524</v>
      </c>
      <c r="P22">
        <v>0</v>
      </c>
      <c r="R22">
        <f t="shared" si="0"/>
        <v>0</v>
      </c>
      <c r="S22">
        <f>R22+R21+R20+R19+R18</f>
        <v>4</v>
      </c>
      <c r="V22">
        <v>319</v>
      </c>
      <c r="W22">
        <v>574</v>
      </c>
      <c r="X22">
        <v>2592.8100471794901</v>
      </c>
      <c r="Y22">
        <v>660.57293629097501</v>
      </c>
      <c r="Z22">
        <v>491466264.60048598</v>
      </c>
      <c r="AA22">
        <v>0</v>
      </c>
      <c r="AB22">
        <v>705</v>
      </c>
      <c r="AC22">
        <v>668.07109349794098</v>
      </c>
      <c r="AD22">
        <v>1737.0193305397399</v>
      </c>
      <c r="AE22">
        <v>605.83079313376697</v>
      </c>
      <c r="AF22">
        <v>450738110.09152198</v>
      </c>
      <c r="AG22">
        <v>0</v>
      </c>
      <c r="AH22">
        <v>744.92736223777001</v>
      </c>
      <c r="AI22">
        <v>0</v>
      </c>
      <c r="AK22">
        <f t="shared" si="1"/>
        <v>1</v>
      </c>
      <c r="AL22">
        <f>AK22+AK21+AK20+AK19+AK18</f>
        <v>4</v>
      </c>
    </row>
    <row r="23" spans="1:38" s="1" customFormat="1" x14ac:dyDescent="0.25">
      <c r="B23" s="1">
        <v>4</v>
      </c>
      <c r="C23" s="1">
        <v>541</v>
      </c>
      <c r="D23" s="1">
        <v>1274.7842121575</v>
      </c>
      <c r="E23" s="1">
        <v>2576.1752511957502</v>
      </c>
      <c r="F23" s="1">
        <v>1211.09772910938</v>
      </c>
      <c r="G23" s="1">
        <v>871990364.95875394</v>
      </c>
      <c r="H23" s="1">
        <v>2.00302033842648</v>
      </c>
      <c r="I23" s="1">
        <v>1404.7842121575</v>
      </c>
      <c r="J23" s="1">
        <v>1387.8779298038701</v>
      </c>
      <c r="K23" s="1">
        <v>1730.69868618945</v>
      </c>
      <c r="L23" s="1">
        <v>1171.36755058163</v>
      </c>
      <c r="M23" s="1">
        <v>843384636.41877103</v>
      </c>
      <c r="N23" s="1">
        <v>0</v>
      </c>
      <c r="O23" s="1">
        <v>1500.2435754149501</v>
      </c>
      <c r="P23" s="1">
        <v>0</v>
      </c>
      <c r="R23" s="1">
        <f t="shared" si="0"/>
        <v>1</v>
      </c>
      <c r="V23" s="1">
        <v>541</v>
      </c>
      <c r="W23" s="1">
        <v>866</v>
      </c>
      <c r="X23" s="1">
        <v>2590.6434694736799</v>
      </c>
      <c r="Y23" s="1">
        <v>973.55093331312798</v>
      </c>
      <c r="Z23" s="1">
        <v>700956671.98545206</v>
      </c>
      <c r="AA23" s="1">
        <v>0</v>
      </c>
      <c r="AB23" s="1">
        <v>996</v>
      </c>
      <c r="AC23" s="1">
        <v>1202</v>
      </c>
      <c r="AD23" s="1">
        <v>1732.9078380451499</v>
      </c>
      <c r="AE23" s="1">
        <v>1061.3533255826401</v>
      </c>
      <c r="AF23" s="1">
        <v>764174394.41949797</v>
      </c>
      <c r="AG23" s="1">
        <v>0</v>
      </c>
      <c r="AH23" s="1">
        <v>1314.36564561108</v>
      </c>
      <c r="AI23" s="1">
        <v>0</v>
      </c>
      <c r="AK23" s="1">
        <f t="shared" si="1"/>
        <v>1</v>
      </c>
    </row>
    <row r="24" spans="1:38" s="1" customFormat="1" x14ac:dyDescent="0.25">
      <c r="B24" s="1">
        <v>5</v>
      </c>
      <c r="C24" s="1">
        <v>890</v>
      </c>
      <c r="D24" s="1">
        <v>1050.4229099791701</v>
      </c>
      <c r="E24" s="1">
        <v>2574.8200114392298</v>
      </c>
      <c r="F24" s="1">
        <v>1034.1427204479201</v>
      </c>
      <c r="G24" s="1">
        <v>769402184.013255</v>
      </c>
      <c r="H24" s="1">
        <v>0</v>
      </c>
      <c r="I24" s="1">
        <v>1311.4229099791701</v>
      </c>
      <c r="J24" s="1">
        <v>1273.3460117285399</v>
      </c>
      <c r="K24" s="1">
        <v>1731.51911680133</v>
      </c>
      <c r="L24" s="1">
        <v>1082.4337042060299</v>
      </c>
      <c r="M24" s="1">
        <v>805330675.92928505</v>
      </c>
      <c r="N24" s="1">
        <v>0</v>
      </c>
      <c r="O24" s="1">
        <v>1397.4077302988401</v>
      </c>
      <c r="P24" s="1">
        <v>0</v>
      </c>
      <c r="R24" s="1">
        <f t="shared" si="0"/>
        <v>1</v>
      </c>
      <c r="V24" s="1">
        <v>890</v>
      </c>
      <c r="W24" s="1">
        <v>1031</v>
      </c>
      <c r="X24" s="1">
        <v>2589.6575368421099</v>
      </c>
      <c r="Y24" s="1">
        <v>1140.8431392683201</v>
      </c>
      <c r="Z24" s="1">
        <v>848787295.61562705</v>
      </c>
      <c r="AA24" s="1">
        <v>0</v>
      </c>
      <c r="AB24" s="1">
        <v>1292</v>
      </c>
      <c r="AC24" s="1">
        <v>1423</v>
      </c>
      <c r="AD24" s="1">
        <v>1730.09588677944</v>
      </c>
      <c r="AE24" s="1">
        <v>1212.19191806354</v>
      </c>
      <c r="AF24" s="1">
        <v>901870787.03927302</v>
      </c>
      <c r="AG24" s="1">
        <v>0</v>
      </c>
      <c r="AH24" s="1">
        <v>1547.0617185702999</v>
      </c>
      <c r="AI24" s="1">
        <v>0</v>
      </c>
      <c r="AK24" s="1">
        <f t="shared" si="1"/>
        <v>1</v>
      </c>
    </row>
    <row r="25" spans="1:38" s="1" customFormat="1" x14ac:dyDescent="0.25">
      <c r="B25" s="1">
        <v>6</v>
      </c>
      <c r="C25" s="1">
        <v>1697</v>
      </c>
      <c r="D25" s="1">
        <v>1096.2145365173201</v>
      </c>
      <c r="E25" s="1">
        <v>2579.6170896421199</v>
      </c>
      <c r="F25" s="1">
        <v>1094.07282713922</v>
      </c>
      <c r="G25" s="1">
        <v>787732435.54023898</v>
      </c>
      <c r="H25" s="1">
        <v>0</v>
      </c>
      <c r="I25" s="1">
        <v>1315.2145365173201</v>
      </c>
      <c r="J25" s="1">
        <v>1360.5366873586099</v>
      </c>
      <c r="K25" s="1">
        <v>1730.5734372433001</v>
      </c>
      <c r="L25" s="1">
        <v>1154.6173487753999</v>
      </c>
      <c r="M25" s="1">
        <v>831324491.11828899</v>
      </c>
      <c r="N25" s="1">
        <v>0</v>
      </c>
      <c r="O25" s="1">
        <v>1545.15447515593</v>
      </c>
      <c r="P25" s="1">
        <v>0</v>
      </c>
      <c r="R25" s="1">
        <f t="shared" si="0"/>
        <v>1</v>
      </c>
      <c r="V25" s="1">
        <v>1697</v>
      </c>
      <c r="W25" s="1">
        <v>1367</v>
      </c>
      <c r="X25" s="1">
        <v>2591.8795368421102</v>
      </c>
      <c r="Y25" s="1">
        <v>1280</v>
      </c>
      <c r="Z25" s="1">
        <v>921600000</v>
      </c>
      <c r="AA25" s="1">
        <v>5.5645399699767797</v>
      </c>
      <c r="AB25" s="1">
        <v>1586</v>
      </c>
      <c r="AC25" s="1">
        <v>1618</v>
      </c>
      <c r="AD25" s="1">
        <v>1729.41378739881</v>
      </c>
      <c r="AE25" s="1">
        <v>1351.5678254116599</v>
      </c>
      <c r="AF25" s="1">
        <v>973128834.29639804</v>
      </c>
      <c r="AG25" s="1">
        <v>0</v>
      </c>
      <c r="AH25" s="1">
        <v>1802.61778779732</v>
      </c>
      <c r="AI25" s="1">
        <v>0</v>
      </c>
      <c r="AK25" s="1">
        <f t="shared" si="1"/>
        <v>1</v>
      </c>
    </row>
    <row r="26" spans="1:38" x14ac:dyDescent="0.25">
      <c r="A26">
        <v>2020</v>
      </c>
      <c r="B26">
        <v>7</v>
      </c>
      <c r="C26">
        <v>2060</v>
      </c>
      <c r="D26">
        <v>1651.1947437050501</v>
      </c>
      <c r="E26">
        <v>2582.80738165817</v>
      </c>
      <c r="F26">
        <v>1223.22981459223</v>
      </c>
      <c r="G26">
        <v>910082982.05661595</v>
      </c>
      <c r="H26">
        <v>12.0848000153961</v>
      </c>
      <c r="I26">
        <v>2079.1947437050499</v>
      </c>
      <c r="J26">
        <v>2388.5715431456101</v>
      </c>
      <c r="K26">
        <v>1723.3822001892399</v>
      </c>
      <c r="L26">
        <v>1518.4331933712101</v>
      </c>
      <c r="M26">
        <v>1129714295.86818</v>
      </c>
      <c r="N26">
        <v>13.728716211611999</v>
      </c>
      <c r="O26">
        <v>2637.69756336207</v>
      </c>
      <c r="P26">
        <v>0</v>
      </c>
      <c r="Q26">
        <f>ABS(2600-O26)/2600*100</f>
        <v>1.4499062831565399</v>
      </c>
      <c r="R26">
        <f t="shared" si="0"/>
        <v>1</v>
      </c>
      <c r="V26">
        <v>2060</v>
      </c>
      <c r="W26">
        <v>1972</v>
      </c>
      <c r="X26">
        <v>2592.4818543589699</v>
      </c>
      <c r="Y26">
        <v>1280</v>
      </c>
      <c r="Z26">
        <v>952320000</v>
      </c>
      <c r="AA26">
        <v>21.782456998769501</v>
      </c>
      <c r="AB26">
        <v>2400</v>
      </c>
      <c r="AC26">
        <v>2348</v>
      </c>
      <c r="AD26">
        <v>1730.5531447938199</v>
      </c>
      <c r="AE26">
        <v>1563.5163939424999</v>
      </c>
      <c r="AF26">
        <v>1163256197.09322</v>
      </c>
      <c r="AG26">
        <v>12.642048000000001</v>
      </c>
      <c r="AH26">
        <v>2597.1260202164599</v>
      </c>
      <c r="AI26">
        <v>0</v>
      </c>
      <c r="AJ26">
        <f>ABS(2600-AH26)/2600*100</f>
        <v>0.11053768398231199</v>
      </c>
      <c r="AK26">
        <f t="shared" si="1"/>
        <v>1</v>
      </c>
    </row>
    <row r="27" spans="1:38" x14ac:dyDescent="0.25">
      <c r="B27">
        <v>8</v>
      </c>
      <c r="C27">
        <v>2542</v>
      </c>
      <c r="D27">
        <v>1384.7236475232901</v>
      </c>
      <c r="E27">
        <v>2591.1903399047001</v>
      </c>
      <c r="F27">
        <v>1280</v>
      </c>
      <c r="G27">
        <v>952320000</v>
      </c>
      <c r="H27">
        <v>5.14471990338573</v>
      </c>
      <c r="I27">
        <v>2070.7236475232899</v>
      </c>
      <c r="J27">
        <v>2317.9586504315698</v>
      </c>
      <c r="K27">
        <v>1715.9589993038501</v>
      </c>
      <c r="L27">
        <v>1408.98257377605</v>
      </c>
      <c r="M27">
        <v>1048283034.88938</v>
      </c>
      <c r="N27">
        <v>11.8374204931592</v>
      </c>
      <c r="O27">
        <v>2618.5423827786199</v>
      </c>
      <c r="P27">
        <v>0</v>
      </c>
      <c r="Q27">
        <f>ABS(2600-O27)/2600*100</f>
        <v>0.71316856840845599</v>
      </c>
      <c r="R27">
        <f t="shared" si="0"/>
        <v>1</v>
      </c>
      <c r="V27">
        <v>2542</v>
      </c>
      <c r="W27">
        <v>2113</v>
      </c>
      <c r="X27">
        <v>2595.3773919999999</v>
      </c>
      <c r="Y27">
        <v>1280</v>
      </c>
      <c r="Z27">
        <v>952320000</v>
      </c>
      <c r="AA27">
        <v>25.898510188907998</v>
      </c>
      <c r="AB27">
        <v>2799</v>
      </c>
      <c r="AC27">
        <v>2645</v>
      </c>
      <c r="AD27">
        <v>1733.8314052729199</v>
      </c>
      <c r="AE27">
        <v>1596.41404530267</v>
      </c>
      <c r="AF27">
        <v>1187732049.7051799</v>
      </c>
      <c r="AG27">
        <v>20.596896000000001</v>
      </c>
      <c r="AH27">
        <v>2945.58373234705</v>
      </c>
      <c r="AI27">
        <v>0</v>
      </c>
      <c r="AJ27">
        <f>ABS(2600-AH27)/2600*100</f>
        <v>13.291682013348099</v>
      </c>
      <c r="AK27">
        <f t="shared" si="1"/>
        <v>1</v>
      </c>
    </row>
    <row r="28" spans="1:38" x14ac:dyDescent="0.25">
      <c r="B28">
        <v>9</v>
      </c>
      <c r="C28">
        <v>1499</v>
      </c>
      <c r="D28">
        <v>1156.9239468246601</v>
      </c>
      <c r="E28">
        <v>2593.45870177606</v>
      </c>
      <c r="F28">
        <v>1280</v>
      </c>
      <c r="G28">
        <v>921600000</v>
      </c>
      <c r="H28">
        <v>0.42572946519577198</v>
      </c>
      <c r="I28">
        <v>1615.9239468246601</v>
      </c>
      <c r="J28">
        <v>1413.1213959391901</v>
      </c>
      <c r="K28">
        <v>1722.05087397839</v>
      </c>
      <c r="L28">
        <v>1060.2423276695999</v>
      </c>
      <c r="M28">
        <v>763374475.92210996</v>
      </c>
      <c r="N28">
        <v>0</v>
      </c>
      <c r="O28">
        <v>1726.2684934906099</v>
      </c>
      <c r="P28">
        <v>0</v>
      </c>
      <c r="R28">
        <f t="shared" si="0"/>
        <v>1</v>
      </c>
      <c r="V28">
        <v>1499</v>
      </c>
      <c r="W28">
        <v>1157</v>
      </c>
      <c r="X28">
        <v>2597.5571239024398</v>
      </c>
      <c r="Y28">
        <v>1280</v>
      </c>
      <c r="Z28">
        <v>921600000</v>
      </c>
      <c r="AA28">
        <v>1.3367398615052599</v>
      </c>
      <c r="AB28">
        <v>1616</v>
      </c>
      <c r="AC28">
        <v>1594</v>
      </c>
      <c r="AD28">
        <v>1734.27495187367</v>
      </c>
      <c r="AE28">
        <v>1388.6537049942499</v>
      </c>
      <c r="AF28">
        <v>999830667.59586096</v>
      </c>
      <c r="AG28">
        <v>0</v>
      </c>
      <c r="AH28">
        <v>1907.1470975514201</v>
      </c>
      <c r="AI28">
        <v>0</v>
      </c>
      <c r="AK28">
        <f t="shared" si="1"/>
        <v>1</v>
      </c>
    </row>
    <row r="29" spans="1:38" x14ac:dyDescent="0.25">
      <c r="B29">
        <v>10</v>
      </c>
      <c r="C29">
        <v>1411</v>
      </c>
      <c r="D29">
        <v>576.87074343581605</v>
      </c>
      <c r="E29">
        <v>2598.9683548620601</v>
      </c>
      <c r="F29">
        <v>676.09244015180195</v>
      </c>
      <c r="G29">
        <v>503012775.47294098</v>
      </c>
      <c r="H29">
        <v>0</v>
      </c>
      <c r="I29">
        <v>1019.87074343582</v>
      </c>
      <c r="J29">
        <v>843.50252990561</v>
      </c>
      <c r="K29">
        <v>1726.4305788921499</v>
      </c>
      <c r="L29">
        <v>675.14062597505699</v>
      </c>
      <c r="M29">
        <v>502304625.72544301</v>
      </c>
      <c r="N29">
        <v>0</v>
      </c>
      <c r="O29">
        <v>1076.6725091825999</v>
      </c>
      <c r="P29">
        <v>0</v>
      </c>
      <c r="R29">
        <f t="shared" si="0"/>
        <v>1</v>
      </c>
      <c r="V29">
        <v>1411</v>
      </c>
      <c r="W29">
        <v>980.03798271180801</v>
      </c>
      <c r="X29">
        <v>2600.3374034931098</v>
      </c>
      <c r="Y29">
        <v>1157.3008031274101</v>
      </c>
      <c r="Z29">
        <v>861031797.52679002</v>
      </c>
      <c r="AA29">
        <v>0</v>
      </c>
      <c r="AB29">
        <v>1423.0379827118099</v>
      </c>
      <c r="AC29">
        <v>1700</v>
      </c>
      <c r="AD29">
        <v>1728.30401370404</v>
      </c>
      <c r="AE29">
        <v>1441.6558166566001</v>
      </c>
      <c r="AF29">
        <v>1072591927.59251</v>
      </c>
      <c r="AG29">
        <v>0</v>
      </c>
      <c r="AH29">
        <v>1933.16997927699</v>
      </c>
      <c r="AI29">
        <v>0</v>
      </c>
      <c r="AK29">
        <f t="shared" si="1"/>
        <v>1</v>
      </c>
    </row>
    <row r="30" spans="1:38" x14ac:dyDescent="0.25">
      <c r="B30">
        <v>11</v>
      </c>
      <c r="C30">
        <v>742</v>
      </c>
      <c r="D30">
        <v>796.52044541693294</v>
      </c>
      <c r="E30">
        <v>2598.6278773783902</v>
      </c>
      <c r="F30">
        <v>943.75993469172101</v>
      </c>
      <c r="G30">
        <v>679507152.97803903</v>
      </c>
      <c r="H30">
        <v>0</v>
      </c>
      <c r="I30">
        <v>1081.52044541693</v>
      </c>
      <c r="J30">
        <v>899.42493021552298</v>
      </c>
      <c r="K30">
        <v>1730.4050555798501</v>
      </c>
      <c r="L30">
        <v>749.68665162637603</v>
      </c>
      <c r="M30">
        <v>539774389.17099094</v>
      </c>
      <c r="N30">
        <v>0</v>
      </c>
      <c r="O30">
        <v>1034.2794477694399</v>
      </c>
      <c r="P30">
        <v>0</v>
      </c>
      <c r="R30">
        <f t="shared" si="0"/>
        <v>1</v>
      </c>
      <c r="V30">
        <v>742</v>
      </c>
      <c r="W30">
        <v>879</v>
      </c>
      <c r="X30">
        <v>2599.4895368264401</v>
      </c>
      <c r="Y30">
        <v>1047.5320045668</v>
      </c>
      <c r="Z30">
        <v>754223043.288095</v>
      </c>
      <c r="AA30">
        <v>0</v>
      </c>
      <c r="AB30">
        <v>1164</v>
      </c>
      <c r="AC30">
        <v>1163</v>
      </c>
      <c r="AD30">
        <v>1728.32582194627</v>
      </c>
      <c r="AE30">
        <v>963.07386555673997</v>
      </c>
      <c r="AF30">
        <v>693413183.20085299</v>
      </c>
      <c r="AG30">
        <v>0</v>
      </c>
      <c r="AH30">
        <v>1297.85451755392</v>
      </c>
      <c r="AI30">
        <v>0</v>
      </c>
      <c r="AK30">
        <f t="shared" si="1"/>
        <v>1</v>
      </c>
    </row>
    <row r="31" spans="1:38" x14ac:dyDescent="0.25">
      <c r="B31">
        <v>12</v>
      </c>
      <c r="C31">
        <v>356</v>
      </c>
      <c r="D31">
        <v>442.22205289330401</v>
      </c>
      <c r="E31">
        <v>2598.06850322013</v>
      </c>
      <c r="F31">
        <v>529.32630466319404</v>
      </c>
      <c r="G31">
        <v>393818770.66941601</v>
      </c>
      <c r="H31">
        <v>0</v>
      </c>
      <c r="I31">
        <v>616.22205289330395</v>
      </c>
      <c r="J31">
        <v>730.29825519037695</v>
      </c>
      <c r="K31">
        <v>1727.8681668798699</v>
      </c>
      <c r="L31">
        <v>615.66236658587104</v>
      </c>
      <c r="M31">
        <v>458052800.73988801</v>
      </c>
      <c r="N31">
        <v>0</v>
      </c>
      <c r="O31">
        <v>831.72503617042196</v>
      </c>
      <c r="P31">
        <v>0</v>
      </c>
      <c r="R31">
        <f t="shared" si="0"/>
        <v>1</v>
      </c>
      <c r="V31">
        <v>356</v>
      </c>
      <c r="W31">
        <v>610</v>
      </c>
      <c r="X31">
        <v>2597.8470533343998</v>
      </c>
      <c r="Y31">
        <v>726.17148767035997</v>
      </c>
      <c r="Z31">
        <v>540271586.82674801</v>
      </c>
      <c r="AA31">
        <v>0</v>
      </c>
      <c r="AB31">
        <v>784</v>
      </c>
      <c r="AC31">
        <v>618</v>
      </c>
      <c r="AD31">
        <v>1731.95808163935</v>
      </c>
      <c r="AE31">
        <v>528.09964033881602</v>
      </c>
      <c r="AF31">
        <v>392906132.41207898</v>
      </c>
      <c r="AG31">
        <v>0</v>
      </c>
      <c r="AH31">
        <v>719.42678098004501</v>
      </c>
      <c r="AI31">
        <v>0</v>
      </c>
      <c r="AK31">
        <f t="shared" si="1"/>
        <v>1</v>
      </c>
    </row>
    <row r="32" spans="1:38" x14ac:dyDescent="0.25">
      <c r="B32">
        <v>1</v>
      </c>
      <c r="C32">
        <v>242</v>
      </c>
      <c r="D32">
        <v>330.44069081708301</v>
      </c>
      <c r="E32">
        <v>2597.4924190394399</v>
      </c>
      <c r="F32">
        <v>396.37589128164802</v>
      </c>
      <c r="G32">
        <v>294903663.11354601</v>
      </c>
      <c r="H32">
        <v>0</v>
      </c>
      <c r="I32">
        <v>484.44069081708301</v>
      </c>
      <c r="J32">
        <v>414.85862822632998</v>
      </c>
      <c r="K32">
        <v>1729.42886480367</v>
      </c>
      <c r="L32">
        <v>352.18158544930901</v>
      </c>
      <c r="M32">
        <v>262023099.57428601</v>
      </c>
      <c r="N32">
        <v>0</v>
      </c>
      <c r="O32">
        <v>498.21849891474398</v>
      </c>
      <c r="P32">
        <v>0</v>
      </c>
      <c r="R32">
        <f t="shared" si="0"/>
        <v>0</v>
      </c>
      <c r="V32">
        <v>242</v>
      </c>
      <c r="W32">
        <v>540</v>
      </c>
      <c r="X32">
        <v>2595.89032166776</v>
      </c>
      <c r="Y32">
        <v>636.79665979796005</v>
      </c>
      <c r="Z32">
        <v>473776714.88968199</v>
      </c>
      <c r="AA32">
        <v>0</v>
      </c>
      <c r="AB32">
        <v>694</v>
      </c>
      <c r="AC32">
        <v>572</v>
      </c>
      <c r="AD32">
        <v>1734.52427576943</v>
      </c>
      <c r="AE32">
        <v>504.19288123911599</v>
      </c>
      <c r="AF32">
        <v>375119503.64190203</v>
      </c>
      <c r="AG32">
        <v>0</v>
      </c>
      <c r="AH32">
        <v>655.35987068841405</v>
      </c>
      <c r="AI32">
        <v>0</v>
      </c>
      <c r="AK32">
        <f t="shared" si="1"/>
        <v>1</v>
      </c>
    </row>
    <row r="33" spans="1:38" x14ac:dyDescent="0.25">
      <c r="B33">
        <v>2</v>
      </c>
      <c r="C33">
        <v>261</v>
      </c>
      <c r="D33">
        <v>330.44069081708301</v>
      </c>
      <c r="E33">
        <v>2597.0973184454401</v>
      </c>
      <c r="F33">
        <v>395.041786334714</v>
      </c>
      <c r="G33">
        <v>255987077.54489499</v>
      </c>
      <c r="H33">
        <v>0</v>
      </c>
      <c r="I33">
        <v>429.44069081708301</v>
      </c>
      <c r="J33">
        <v>413.963867648963</v>
      </c>
      <c r="K33">
        <v>1729.72677996582</v>
      </c>
      <c r="L33">
        <v>354.61292247166199</v>
      </c>
      <c r="M33">
        <v>229789173.761637</v>
      </c>
      <c r="N33">
        <v>0</v>
      </c>
      <c r="O33">
        <v>481.74525725637699</v>
      </c>
      <c r="P33">
        <v>0</v>
      </c>
      <c r="R33">
        <f t="shared" si="0"/>
        <v>0</v>
      </c>
      <c r="V33">
        <v>261</v>
      </c>
      <c r="W33">
        <v>479</v>
      </c>
      <c r="X33">
        <v>2594.6239456677599</v>
      </c>
      <c r="Y33">
        <v>560.08223854792004</v>
      </c>
      <c r="Z33">
        <v>362933290.57905197</v>
      </c>
      <c r="AA33">
        <v>0</v>
      </c>
      <c r="AB33">
        <v>578</v>
      </c>
      <c r="AC33">
        <v>490.03352066324499</v>
      </c>
      <c r="AD33">
        <v>1736.09804431921</v>
      </c>
      <c r="AE33">
        <v>441.56319239041397</v>
      </c>
      <c r="AF33">
        <v>286132948.66898799</v>
      </c>
      <c r="AG33">
        <v>0</v>
      </c>
      <c r="AH33">
        <v>557.81491027065897</v>
      </c>
      <c r="AI33">
        <v>0</v>
      </c>
      <c r="AK33">
        <f t="shared" si="1"/>
        <v>1</v>
      </c>
    </row>
    <row r="34" spans="1:38" x14ac:dyDescent="0.25">
      <c r="B34">
        <v>3</v>
      </c>
      <c r="C34">
        <v>355</v>
      </c>
      <c r="D34">
        <v>648.98527044246703</v>
      </c>
      <c r="E34">
        <v>2595.1537260356999</v>
      </c>
      <c r="F34">
        <v>757.99842333050299</v>
      </c>
      <c r="G34">
        <v>563950826.95789397</v>
      </c>
      <c r="H34">
        <v>0</v>
      </c>
      <c r="I34">
        <v>773.98527044246703</v>
      </c>
      <c r="J34">
        <v>582.01936690090997</v>
      </c>
      <c r="K34">
        <v>1733.8340418074499</v>
      </c>
      <c r="L34">
        <v>505.86780776172202</v>
      </c>
      <c r="M34">
        <v>376365648.97472101</v>
      </c>
      <c r="N34">
        <v>0</v>
      </c>
      <c r="O34">
        <v>644.92641869579904</v>
      </c>
      <c r="P34">
        <v>0</v>
      </c>
      <c r="R34">
        <f t="shared" si="0"/>
        <v>1</v>
      </c>
      <c r="S34">
        <f>R34+R33+R32+R31+R30</f>
        <v>3</v>
      </c>
      <c r="V34">
        <v>355</v>
      </c>
      <c r="W34">
        <v>523</v>
      </c>
      <c r="X34">
        <v>2593.4938642746301</v>
      </c>
      <c r="Y34">
        <v>605.03570125867896</v>
      </c>
      <c r="Z34">
        <v>450146561.73645699</v>
      </c>
      <c r="AA34">
        <v>0</v>
      </c>
      <c r="AB34">
        <v>648</v>
      </c>
      <c r="AC34">
        <v>545.11235615671205</v>
      </c>
      <c r="AD34">
        <v>1738</v>
      </c>
      <c r="AE34">
        <v>498.516928102679</v>
      </c>
      <c r="AF34">
        <v>370896594.50839299</v>
      </c>
      <c r="AG34">
        <v>0</v>
      </c>
      <c r="AH34">
        <v>608.01940795160203</v>
      </c>
      <c r="AI34">
        <v>0</v>
      </c>
      <c r="AK34">
        <f t="shared" si="1"/>
        <v>1</v>
      </c>
      <c r="AL34">
        <f>AK34+AK33+AK32+AK31+AK30</f>
        <v>5</v>
      </c>
    </row>
    <row r="35" spans="1:38" s="1" customFormat="1" x14ac:dyDescent="0.25">
      <c r="B35" s="1">
        <v>4</v>
      </c>
      <c r="C35" s="1">
        <v>424</v>
      </c>
      <c r="D35" s="1">
        <v>331.647205327373</v>
      </c>
      <c r="E35" s="1">
        <v>2595.7484606294402</v>
      </c>
      <c r="F35" s="1">
        <v>391.38574424564598</v>
      </c>
      <c r="G35" s="1">
        <v>281797735.85686499</v>
      </c>
      <c r="H35" s="1">
        <v>0</v>
      </c>
      <c r="I35" s="1">
        <v>589.64720532737294</v>
      </c>
      <c r="J35" s="1">
        <v>918.170385974346</v>
      </c>
      <c r="K35" s="1">
        <v>1726.87929235815</v>
      </c>
      <c r="L35" s="1">
        <v>780.11563376237802</v>
      </c>
      <c r="M35" s="1">
        <v>561683256.30891204</v>
      </c>
      <c r="N35" s="1">
        <v>0</v>
      </c>
      <c r="O35" s="1">
        <v>1010.14195321697</v>
      </c>
      <c r="P35" s="1">
        <v>0</v>
      </c>
      <c r="R35" s="1">
        <f t="shared" si="0"/>
        <v>1</v>
      </c>
      <c r="V35" s="1">
        <v>424</v>
      </c>
      <c r="W35" s="1">
        <v>980</v>
      </c>
      <c r="X35" s="1">
        <v>2589.78277649238</v>
      </c>
      <c r="Y35" s="1">
        <v>1097.86977856366</v>
      </c>
      <c r="Z35" s="1">
        <v>790466240.56583798</v>
      </c>
      <c r="AA35" s="1">
        <v>0</v>
      </c>
      <c r="AB35" s="1">
        <v>1238</v>
      </c>
      <c r="AC35" s="1">
        <v>1354.03071957988</v>
      </c>
      <c r="AD35" s="1">
        <v>1735.9064301030201</v>
      </c>
      <c r="AE35" s="1">
        <v>1216.6046613404601</v>
      </c>
      <c r="AF35" s="1">
        <v>875955356.16513097</v>
      </c>
      <c r="AG35" s="1">
        <v>0</v>
      </c>
      <c r="AH35" s="1">
        <v>1446.0022868225001</v>
      </c>
      <c r="AI35" s="1">
        <v>0</v>
      </c>
      <c r="AK35" s="1">
        <f t="shared" si="1"/>
        <v>1</v>
      </c>
    </row>
    <row r="36" spans="1:38" s="1" customFormat="1" x14ac:dyDescent="0.25">
      <c r="B36" s="1">
        <v>5</v>
      </c>
      <c r="C36" s="1">
        <v>426</v>
      </c>
      <c r="D36" s="1">
        <v>1015.72778778768</v>
      </c>
      <c r="E36" s="1">
        <v>2591.76241525964</v>
      </c>
      <c r="F36" s="1">
        <v>1154.8390494190601</v>
      </c>
      <c r="G36" s="1">
        <v>859200252.76777899</v>
      </c>
      <c r="H36" s="1">
        <v>0</v>
      </c>
      <c r="I36" s="1">
        <v>1249.72778778768</v>
      </c>
      <c r="J36" s="1">
        <v>1291.2399050070301</v>
      </c>
      <c r="K36" s="1">
        <v>1725.9075279726801</v>
      </c>
      <c r="L36" s="1">
        <v>1046.87813477603</v>
      </c>
      <c r="M36" s="1">
        <v>778877332.273368</v>
      </c>
      <c r="N36" s="1">
        <v>0</v>
      </c>
      <c r="O36" s="1">
        <v>1392.7847377686101</v>
      </c>
      <c r="P36" s="1">
        <v>0</v>
      </c>
      <c r="R36" s="1">
        <f t="shared" si="0"/>
        <v>1</v>
      </c>
      <c r="V36" s="1">
        <v>426</v>
      </c>
      <c r="W36" s="1">
        <v>739</v>
      </c>
      <c r="X36" s="1">
        <v>2587.5555680713301</v>
      </c>
      <c r="Y36" s="1">
        <v>815.02603216678699</v>
      </c>
      <c r="Z36" s="1">
        <v>606379367.93208897</v>
      </c>
      <c r="AA36" s="1">
        <v>0</v>
      </c>
      <c r="AB36" s="1">
        <v>973</v>
      </c>
      <c r="AC36" s="1">
        <v>1247</v>
      </c>
      <c r="AD36" s="1">
        <v>1730.12955795384</v>
      </c>
      <c r="AE36" s="1">
        <v>1080.63572047976</v>
      </c>
      <c r="AF36" s="1">
        <v>803992976.03694105</v>
      </c>
      <c r="AG36" s="1">
        <v>0</v>
      </c>
      <c r="AH36" s="1">
        <v>1348.54483276158</v>
      </c>
      <c r="AI36" s="1">
        <v>0</v>
      </c>
      <c r="AK36" s="1">
        <f t="shared" si="1"/>
        <v>1</v>
      </c>
    </row>
    <row r="37" spans="1:38" s="1" customFormat="1" x14ac:dyDescent="0.25">
      <c r="B37" s="1">
        <v>6</v>
      </c>
      <c r="C37" s="1">
        <v>1017</v>
      </c>
      <c r="D37" s="1">
        <v>1487.1600896094501</v>
      </c>
      <c r="E37" s="1">
        <v>2588.5781236815601</v>
      </c>
      <c r="F37" s="1">
        <v>1280</v>
      </c>
      <c r="G37" s="1">
        <v>921600000</v>
      </c>
      <c r="H37" s="1">
        <v>8.5682564778934296</v>
      </c>
      <c r="I37" s="1">
        <v>1567.1600896094501</v>
      </c>
      <c r="J37" s="1">
        <v>1406.3631920585001</v>
      </c>
      <c r="K37" s="1">
        <v>1729.4646858128201</v>
      </c>
      <c r="L37" s="1">
        <v>1153.96246606516</v>
      </c>
      <c r="M37" s="1">
        <v>830852975.56691897</v>
      </c>
      <c r="N37" s="1">
        <v>0</v>
      </c>
      <c r="O37" s="1">
        <v>1557.4733217804901</v>
      </c>
      <c r="P37" s="1">
        <v>0</v>
      </c>
      <c r="R37" s="1">
        <f t="shared" si="0"/>
        <v>1</v>
      </c>
      <c r="V37" s="1">
        <v>1017</v>
      </c>
      <c r="W37" s="1">
        <v>791</v>
      </c>
      <c r="X37" s="1">
        <v>2589.11596720839</v>
      </c>
      <c r="Y37" s="1">
        <v>868.70871071816396</v>
      </c>
      <c r="Z37" s="1">
        <v>625470271.71707797</v>
      </c>
      <c r="AA37" s="1">
        <v>0</v>
      </c>
      <c r="AB37" s="1">
        <v>871</v>
      </c>
      <c r="AC37" s="1">
        <v>1078</v>
      </c>
      <c r="AD37" s="1">
        <v>1725.56441694</v>
      </c>
      <c r="AE37" s="1">
        <v>890.085464230409</v>
      </c>
      <c r="AF37" s="1">
        <v>640861534.24589503</v>
      </c>
      <c r="AG37" s="1">
        <v>0</v>
      </c>
      <c r="AH37" s="1">
        <v>1229.11012972199</v>
      </c>
      <c r="AI37" s="1">
        <v>3.2388644037713901</v>
      </c>
      <c r="AK37" s="1">
        <f t="shared" si="1"/>
        <v>1</v>
      </c>
    </row>
    <row r="38" spans="1:38" x14ac:dyDescent="0.25">
      <c r="A38">
        <v>2021</v>
      </c>
      <c r="B38">
        <v>7</v>
      </c>
      <c r="C38">
        <v>1117</v>
      </c>
      <c r="D38">
        <v>784.86666250491305</v>
      </c>
      <c r="E38">
        <v>2590.91352033369</v>
      </c>
      <c r="F38">
        <v>871.35852475864704</v>
      </c>
      <c r="G38">
        <v>648290742.42043304</v>
      </c>
      <c r="H38">
        <v>0</v>
      </c>
      <c r="I38">
        <v>966.86666250491305</v>
      </c>
      <c r="J38">
        <v>1305.71770555225</v>
      </c>
      <c r="K38">
        <v>1721.2640708425399</v>
      </c>
      <c r="L38">
        <v>1049.59141212394</v>
      </c>
      <c r="M38">
        <v>780896010.62021399</v>
      </c>
      <c r="N38">
        <v>0</v>
      </c>
      <c r="O38">
        <v>1475.3206925700499</v>
      </c>
      <c r="P38">
        <v>0</v>
      </c>
      <c r="Q38">
        <f>ABS(2600-O38)/2600*100</f>
        <v>43.256896439613499</v>
      </c>
      <c r="R38">
        <f t="shared" si="0"/>
        <v>1</v>
      </c>
      <c r="V38">
        <v>1117</v>
      </c>
      <c r="W38">
        <v>1055</v>
      </c>
      <c r="X38">
        <v>2589.5551807029101</v>
      </c>
      <c r="Y38">
        <v>1159.69492010764</v>
      </c>
      <c r="Z38">
        <v>862813020.56008101</v>
      </c>
      <c r="AA38">
        <v>0</v>
      </c>
      <c r="AB38">
        <v>1237</v>
      </c>
      <c r="AC38">
        <v>1160</v>
      </c>
      <c r="AD38">
        <v>1727.36504709575</v>
      </c>
      <c r="AE38">
        <v>942.881387978058</v>
      </c>
      <c r="AF38">
        <v>701503752.65567505</v>
      </c>
      <c r="AG38">
        <v>0</v>
      </c>
      <c r="AH38">
        <v>1329.6029870177999</v>
      </c>
      <c r="AI38">
        <v>0</v>
      </c>
      <c r="AJ38">
        <f>ABS(2600-AH38)/2600*100</f>
        <v>48.861423576238501</v>
      </c>
      <c r="AK38">
        <f t="shared" si="1"/>
        <v>1</v>
      </c>
    </row>
    <row r="39" spans="1:38" x14ac:dyDescent="0.25">
      <c r="B39">
        <v>8</v>
      </c>
      <c r="C39">
        <v>949</v>
      </c>
      <c r="D39">
        <v>1041.49288106779</v>
      </c>
      <c r="E39">
        <v>2590.2680512756101</v>
      </c>
      <c r="F39">
        <v>1156.00363473317</v>
      </c>
      <c r="G39">
        <v>860066704.24147797</v>
      </c>
      <c r="H39">
        <v>0</v>
      </c>
      <c r="I39">
        <v>1172.49288106779</v>
      </c>
      <c r="J39">
        <v>1296.7872123068701</v>
      </c>
      <c r="K39">
        <v>1717.4514609223099</v>
      </c>
      <c r="L39">
        <v>976.83204759120702</v>
      </c>
      <c r="M39">
        <v>726763043.40785801</v>
      </c>
      <c r="N39">
        <v>0</v>
      </c>
      <c r="O39">
        <v>1501.4221950787401</v>
      </c>
      <c r="P39">
        <v>0</v>
      </c>
      <c r="Q39">
        <f>ABS(2600-O39)/2600*100</f>
        <v>42.252992496971501</v>
      </c>
      <c r="R39">
        <f t="shared" si="0"/>
        <v>1</v>
      </c>
      <c r="V39">
        <v>949</v>
      </c>
      <c r="W39">
        <v>936</v>
      </c>
      <c r="X39">
        <v>2589.64681017659</v>
      </c>
      <c r="Y39">
        <v>1033.8081644123199</v>
      </c>
      <c r="Z39">
        <v>769153274.32276595</v>
      </c>
      <c r="AA39">
        <v>0</v>
      </c>
      <c r="AB39">
        <v>1067</v>
      </c>
      <c r="AC39">
        <v>1064</v>
      </c>
      <c r="AD39">
        <v>1727.4341760320401</v>
      </c>
      <c r="AE39">
        <v>874.320786312015</v>
      </c>
      <c r="AF39">
        <v>650494665.01613998</v>
      </c>
      <c r="AG39">
        <v>0</v>
      </c>
      <c r="AH39">
        <v>1268.63498277187</v>
      </c>
      <c r="AI39">
        <v>0</v>
      </c>
      <c r="AJ39">
        <f>ABS(2600-AH39)/2600*100</f>
        <v>51.2063468164665</v>
      </c>
      <c r="AK39">
        <f t="shared" si="1"/>
        <v>1</v>
      </c>
    </row>
    <row r="40" spans="1:38" x14ac:dyDescent="0.25">
      <c r="B40">
        <v>9</v>
      </c>
      <c r="C40">
        <v>1233</v>
      </c>
      <c r="D40">
        <v>767.91292158501597</v>
      </c>
      <c r="E40">
        <v>2593.3676142618501</v>
      </c>
      <c r="F40">
        <v>866.231767458523</v>
      </c>
      <c r="G40">
        <v>623686872.57013595</v>
      </c>
      <c r="H40">
        <v>0</v>
      </c>
      <c r="I40">
        <v>891.91292158501597</v>
      </c>
      <c r="J40">
        <v>651.09840950691296</v>
      </c>
      <c r="K40">
        <v>1724.1033236548799</v>
      </c>
      <c r="L40">
        <v>506.486452980151</v>
      </c>
      <c r="M40">
        <v>364670246.14570898</v>
      </c>
      <c r="N40">
        <v>0</v>
      </c>
      <c r="O40">
        <v>864.28643006988295</v>
      </c>
      <c r="P40">
        <v>0</v>
      </c>
      <c r="R40">
        <f t="shared" si="0"/>
        <v>1</v>
      </c>
      <c r="V40">
        <v>1233</v>
      </c>
      <c r="W40">
        <v>767</v>
      </c>
      <c r="X40">
        <v>2592.7691496677598</v>
      </c>
      <c r="Y40">
        <v>861.34418284737103</v>
      </c>
      <c r="Z40">
        <v>620167811.65010703</v>
      </c>
      <c r="AA40">
        <v>0</v>
      </c>
      <c r="AB40">
        <v>891</v>
      </c>
      <c r="AC40">
        <v>875</v>
      </c>
      <c r="AD40">
        <v>1727.78978352587</v>
      </c>
      <c r="AE40">
        <v>723.67594447590295</v>
      </c>
      <c r="AF40">
        <v>521046680.02265</v>
      </c>
      <c r="AG40">
        <v>0</v>
      </c>
      <c r="AH40">
        <v>1088.18802056297</v>
      </c>
      <c r="AI40">
        <v>0</v>
      </c>
      <c r="AK40">
        <f t="shared" si="1"/>
        <v>1</v>
      </c>
    </row>
    <row r="41" spans="1:38" x14ac:dyDescent="0.25">
      <c r="B41">
        <v>10</v>
      </c>
      <c r="C41">
        <v>1397</v>
      </c>
      <c r="D41">
        <v>650.68481607102001</v>
      </c>
      <c r="E41">
        <v>2598.3142292699399</v>
      </c>
      <c r="F41">
        <v>758.53056169025001</v>
      </c>
      <c r="G41">
        <v>564346737.89754605</v>
      </c>
      <c r="H41">
        <v>0</v>
      </c>
      <c r="I41">
        <v>841.68481607102001</v>
      </c>
      <c r="J41">
        <v>762.89434315004996</v>
      </c>
      <c r="K41">
        <v>1726.0089194274201</v>
      </c>
      <c r="L41">
        <v>616.77216703794204</v>
      </c>
      <c r="M41">
        <v>458878492.27622902</v>
      </c>
      <c r="N41">
        <v>0</v>
      </c>
      <c r="O41">
        <v>921.63458607568202</v>
      </c>
      <c r="P41">
        <v>0</v>
      </c>
      <c r="R41">
        <f t="shared" si="0"/>
        <v>1</v>
      </c>
      <c r="V41">
        <v>1397</v>
      </c>
      <c r="W41">
        <v>780</v>
      </c>
      <c r="X41">
        <v>2596.8981284563502</v>
      </c>
      <c r="Y41">
        <v>899.09853933309103</v>
      </c>
      <c r="Z41">
        <v>668929313.26382005</v>
      </c>
      <c r="AA41">
        <v>0</v>
      </c>
      <c r="AB41">
        <v>971</v>
      </c>
      <c r="AC41">
        <v>1087</v>
      </c>
      <c r="AD41">
        <v>1725.0748365249001</v>
      </c>
      <c r="AE41">
        <v>884.31844467560404</v>
      </c>
      <c r="AF41">
        <v>657932922.83864999</v>
      </c>
      <c r="AG41">
        <v>0</v>
      </c>
      <c r="AH41">
        <v>1245.7402429256299</v>
      </c>
      <c r="AI41">
        <v>0</v>
      </c>
      <c r="AK41">
        <f t="shared" si="1"/>
        <v>1</v>
      </c>
    </row>
    <row r="42" spans="1:38" x14ac:dyDescent="0.25">
      <c r="B42">
        <v>11</v>
      </c>
      <c r="C42">
        <v>713</v>
      </c>
      <c r="D42">
        <v>588.904025284157</v>
      </c>
      <c r="E42">
        <v>2599.0896025234201</v>
      </c>
      <c r="F42">
        <v>701.78982579575302</v>
      </c>
      <c r="G42">
        <v>505288674.57294202</v>
      </c>
      <c r="H42">
        <v>0</v>
      </c>
      <c r="I42">
        <v>792.904025284157</v>
      </c>
      <c r="J42">
        <v>713.00930964245197</v>
      </c>
      <c r="K42">
        <v>1727.8043088357599</v>
      </c>
      <c r="L42">
        <v>588.11807766520701</v>
      </c>
      <c r="M42">
        <v>423445015.91894901</v>
      </c>
      <c r="N42">
        <v>0</v>
      </c>
      <c r="O42">
        <v>847.28255772415605</v>
      </c>
      <c r="P42">
        <v>0</v>
      </c>
      <c r="R42">
        <f t="shared" si="0"/>
        <v>1</v>
      </c>
      <c r="V42">
        <v>713</v>
      </c>
      <c r="W42">
        <v>705</v>
      </c>
      <c r="X42">
        <v>2596.9487040661102</v>
      </c>
      <c r="Y42">
        <v>826.65261800259395</v>
      </c>
      <c r="Z42">
        <v>595189884.96186805</v>
      </c>
      <c r="AA42">
        <v>0</v>
      </c>
      <c r="AB42">
        <v>909</v>
      </c>
      <c r="AC42">
        <v>1002</v>
      </c>
      <c r="AD42">
        <v>1722.81905631733</v>
      </c>
      <c r="AE42">
        <v>795.58447578779396</v>
      </c>
      <c r="AF42">
        <v>572820822.56721199</v>
      </c>
      <c r="AG42">
        <v>0</v>
      </c>
      <c r="AH42">
        <v>1136.2732480817001</v>
      </c>
      <c r="AI42">
        <v>0</v>
      </c>
      <c r="AK42">
        <f t="shared" si="1"/>
        <v>1</v>
      </c>
    </row>
    <row r="43" spans="1:38" x14ac:dyDescent="0.25">
      <c r="B43">
        <v>12</v>
      </c>
      <c r="C43">
        <v>306</v>
      </c>
      <c r="D43">
        <v>404.30039500975499</v>
      </c>
      <c r="E43">
        <v>2598.45450068742</v>
      </c>
      <c r="F43">
        <v>486.22021335775401</v>
      </c>
      <c r="G43">
        <v>361747838.73816901</v>
      </c>
      <c r="H43">
        <v>0</v>
      </c>
      <c r="I43">
        <v>538.30039500975499</v>
      </c>
      <c r="J43">
        <v>415.32619094219001</v>
      </c>
      <c r="K43">
        <v>1730.53756471221</v>
      </c>
      <c r="L43">
        <v>354.409913211093</v>
      </c>
      <c r="M43">
        <v>263680975.42905301</v>
      </c>
      <c r="N43">
        <v>0</v>
      </c>
      <c r="O43">
        <v>516.31578752145901</v>
      </c>
      <c r="P43">
        <v>0</v>
      </c>
      <c r="R43">
        <f t="shared" si="0"/>
        <v>0</v>
      </c>
      <c r="V43">
        <v>306</v>
      </c>
      <c r="W43">
        <v>664</v>
      </c>
      <c r="X43">
        <v>2594.57275366776</v>
      </c>
      <c r="Y43">
        <v>773.17704278884696</v>
      </c>
      <c r="Z43">
        <v>575243719.83490205</v>
      </c>
      <c r="AA43">
        <v>0</v>
      </c>
      <c r="AB43">
        <v>798</v>
      </c>
      <c r="AC43">
        <v>618</v>
      </c>
      <c r="AD43">
        <v>1727.1915135796801</v>
      </c>
      <c r="AE43">
        <v>501.97250427082997</v>
      </c>
      <c r="AF43">
        <v>373467543.17749703</v>
      </c>
      <c r="AG43">
        <v>0</v>
      </c>
      <c r="AH43">
        <v>718.989596579269</v>
      </c>
      <c r="AI43">
        <v>0</v>
      </c>
      <c r="AK43">
        <f t="shared" si="1"/>
        <v>1</v>
      </c>
    </row>
    <row r="44" spans="1:38" x14ac:dyDescent="0.25">
      <c r="B44">
        <v>1</v>
      </c>
      <c r="C44">
        <v>219</v>
      </c>
      <c r="D44">
        <v>340.45687791271598</v>
      </c>
      <c r="E44">
        <v>2597.6659394635199</v>
      </c>
      <c r="F44">
        <v>408.94095523800303</v>
      </c>
      <c r="G44">
        <v>304252070.697074</v>
      </c>
      <c r="H44">
        <v>0</v>
      </c>
      <c r="I44">
        <v>422.45687791271598</v>
      </c>
      <c r="J44">
        <v>415.30693005392499</v>
      </c>
      <c r="K44">
        <v>1730.69245284574</v>
      </c>
      <c r="L44">
        <v>359.31509546783201</v>
      </c>
      <c r="M44">
        <v>267330431.02806699</v>
      </c>
      <c r="N44">
        <v>0</v>
      </c>
      <c r="O44">
        <v>498.30749095488898</v>
      </c>
      <c r="P44">
        <v>0</v>
      </c>
      <c r="R44">
        <f t="shared" si="0"/>
        <v>0</v>
      </c>
      <c r="V44">
        <v>219</v>
      </c>
      <c r="W44">
        <v>665</v>
      </c>
      <c r="X44">
        <v>2591.5398335054001</v>
      </c>
      <c r="Y44">
        <v>759.42394699431895</v>
      </c>
      <c r="Z44">
        <v>565011416.56377399</v>
      </c>
      <c r="AA44">
        <v>0</v>
      </c>
      <c r="AB44">
        <v>747</v>
      </c>
      <c r="AC44">
        <v>525</v>
      </c>
      <c r="AD44">
        <v>1732.0942282844501</v>
      </c>
      <c r="AE44">
        <v>447.97919703140298</v>
      </c>
      <c r="AF44">
        <v>333296522.59136403</v>
      </c>
      <c r="AG44">
        <v>0</v>
      </c>
      <c r="AH44">
        <v>608.00056090096405</v>
      </c>
      <c r="AI44">
        <v>0</v>
      </c>
      <c r="AK44">
        <f t="shared" si="1"/>
        <v>1</v>
      </c>
    </row>
    <row r="45" spans="1:38" x14ac:dyDescent="0.25">
      <c r="B45">
        <v>2</v>
      </c>
      <c r="C45">
        <v>217</v>
      </c>
      <c r="D45">
        <v>384.78025373204002</v>
      </c>
      <c r="E45">
        <v>2596.7090935103402</v>
      </c>
      <c r="F45">
        <v>458.190301043754</v>
      </c>
      <c r="G45">
        <v>296907315.07635301</v>
      </c>
      <c r="H45">
        <v>0</v>
      </c>
      <c r="I45">
        <v>443.78025373204002</v>
      </c>
      <c r="J45">
        <v>424.057904623139</v>
      </c>
      <c r="K45">
        <v>1731.06347792516</v>
      </c>
      <c r="L45">
        <v>367.65831188189702</v>
      </c>
      <c r="M45">
        <v>238242586.09946901</v>
      </c>
      <c r="N45">
        <v>0</v>
      </c>
      <c r="O45">
        <v>491.54713306845201</v>
      </c>
      <c r="P45">
        <v>0</v>
      </c>
      <c r="R45">
        <f t="shared" si="0"/>
        <v>0</v>
      </c>
      <c r="V45">
        <v>217</v>
      </c>
      <c r="W45">
        <v>526</v>
      </c>
      <c r="X45">
        <v>2589.6649996502802</v>
      </c>
      <c r="Y45">
        <v>593.33436456811899</v>
      </c>
      <c r="Z45">
        <v>384480668.24014097</v>
      </c>
      <c r="AA45">
        <v>0</v>
      </c>
      <c r="AB45">
        <v>585</v>
      </c>
      <c r="AC45">
        <v>444</v>
      </c>
      <c r="AD45">
        <v>1734.67317521272</v>
      </c>
      <c r="AE45">
        <v>393.85109224534199</v>
      </c>
      <c r="AF45">
        <v>255215507.77498099</v>
      </c>
      <c r="AG45">
        <v>0</v>
      </c>
      <c r="AH45">
        <v>511.48922844531302</v>
      </c>
      <c r="AI45">
        <v>0</v>
      </c>
      <c r="AK45">
        <f t="shared" si="1"/>
        <v>0</v>
      </c>
    </row>
    <row r="46" spans="1:38" x14ac:dyDescent="0.25">
      <c r="B46">
        <v>3</v>
      </c>
      <c r="C46">
        <v>330</v>
      </c>
      <c r="D46">
        <v>490.24489537880902</v>
      </c>
      <c r="E46">
        <v>2595.6510936908799</v>
      </c>
      <c r="F46">
        <v>576.67730429451501</v>
      </c>
      <c r="G46">
        <v>429047914.39511901</v>
      </c>
      <c r="H46">
        <v>0</v>
      </c>
      <c r="I46">
        <v>582.24489537880902</v>
      </c>
      <c r="J46">
        <v>578.57493412845997</v>
      </c>
      <c r="K46">
        <v>1731.14256095271</v>
      </c>
      <c r="L46">
        <v>499.560434562757</v>
      </c>
      <c r="M46">
        <v>371672963.31469101</v>
      </c>
      <c r="N46">
        <v>0</v>
      </c>
      <c r="O46">
        <v>641.21083483802704</v>
      </c>
      <c r="P46">
        <v>0</v>
      </c>
      <c r="R46">
        <f t="shared" si="0"/>
        <v>1</v>
      </c>
      <c r="S46">
        <f>R46+R45+R44+R43+R42</f>
        <v>2</v>
      </c>
      <c r="V46">
        <v>330</v>
      </c>
      <c r="W46">
        <v>599</v>
      </c>
      <c r="X46">
        <v>2587.7519196408198</v>
      </c>
      <c r="Y46">
        <v>663.815371832094</v>
      </c>
      <c r="Z46">
        <v>493878636.64307803</v>
      </c>
      <c r="AA46">
        <v>0</v>
      </c>
      <c r="AB46">
        <v>691</v>
      </c>
      <c r="AC46">
        <v>552.08837232752205</v>
      </c>
      <c r="AD46">
        <v>1737.50477275251</v>
      </c>
      <c r="AE46">
        <v>500.00686982692702</v>
      </c>
      <c r="AF46">
        <v>372005111.15123397</v>
      </c>
      <c r="AG46">
        <v>0</v>
      </c>
      <c r="AH46">
        <v>614.72427303708798</v>
      </c>
      <c r="AI46">
        <v>0</v>
      </c>
      <c r="AK46">
        <f t="shared" si="1"/>
        <v>1</v>
      </c>
      <c r="AL46">
        <f>AK46+AK45+AK44+AK43+AK42</f>
        <v>4</v>
      </c>
    </row>
    <row r="47" spans="1:38" s="1" customFormat="1" x14ac:dyDescent="0.25">
      <c r="B47" s="1">
        <v>4</v>
      </c>
      <c r="C47" s="1">
        <v>342</v>
      </c>
      <c r="D47" s="1">
        <v>942.878197018994</v>
      </c>
      <c r="E47" s="1">
        <v>2591.7178492043099</v>
      </c>
      <c r="F47" s="1">
        <v>1073.3310000336901</v>
      </c>
      <c r="G47" s="1">
        <v>772798320.02426004</v>
      </c>
      <c r="H47" s="1">
        <v>0</v>
      </c>
      <c r="I47" s="1">
        <v>1013.87819701899</v>
      </c>
      <c r="J47" s="1">
        <v>923.07571449011198</v>
      </c>
      <c r="K47" s="1">
        <v>1733.0173476197499</v>
      </c>
      <c r="L47" s="1">
        <v>796.71926428191603</v>
      </c>
      <c r="M47" s="1">
        <v>573637870.28297901</v>
      </c>
      <c r="N47" s="1">
        <v>0</v>
      </c>
      <c r="O47" s="1">
        <v>1014.65085256359</v>
      </c>
      <c r="P47" s="1">
        <v>0</v>
      </c>
      <c r="R47" s="1">
        <f t="shared" si="0"/>
        <v>1</v>
      </c>
      <c r="V47" s="1">
        <v>342</v>
      </c>
      <c r="W47" s="1">
        <v>735</v>
      </c>
      <c r="X47" s="1">
        <v>2584.9793174086199</v>
      </c>
      <c r="Y47" s="1">
        <v>796.69392804857603</v>
      </c>
      <c r="Z47" s="1">
        <v>573619628.19497395</v>
      </c>
      <c r="AA47" s="1">
        <v>0</v>
      </c>
      <c r="AB47" s="1">
        <v>806</v>
      </c>
      <c r="AC47" s="1">
        <v>958</v>
      </c>
      <c r="AD47" s="1">
        <v>1734.5034994274599</v>
      </c>
      <c r="AE47" s="1">
        <v>857.37671289853995</v>
      </c>
      <c r="AF47" s="1">
        <v>617311233.28694904</v>
      </c>
      <c r="AG47" s="1">
        <v>0</v>
      </c>
      <c r="AH47" s="1">
        <v>1049.57513807347</v>
      </c>
      <c r="AI47" s="1">
        <v>0</v>
      </c>
      <c r="AK47" s="1">
        <f t="shared" si="1"/>
        <v>1</v>
      </c>
    </row>
    <row r="48" spans="1:38" s="1" customFormat="1" x14ac:dyDescent="0.25">
      <c r="B48" s="1">
        <v>5</v>
      </c>
      <c r="C48" s="1">
        <v>420</v>
      </c>
      <c r="D48" s="1">
        <v>901.20188404658995</v>
      </c>
      <c r="E48" s="1">
        <v>2588.3450264827602</v>
      </c>
      <c r="F48" s="1">
        <v>999.60150342548695</v>
      </c>
      <c r="G48" s="1">
        <v>743703518.54856205</v>
      </c>
      <c r="H48" s="1">
        <v>0</v>
      </c>
      <c r="I48" s="1">
        <v>1040.2018840465901</v>
      </c>
      <c r="J48" s="1">
        <v>1269.2302409744</v>
      </c>
      <c r="K48" s="1">
        <v>1728.0283775658199</v>
      </c>
      <c r="L48" s="1">
        <v>1073.27075153482</v>
      </c>
      <c r="M48" s="1">
        <v>798513439.14190602</v>
      </c>
      <c r="N48" s="1">
        <v>0</v>
      </c>
      <c r="O48" s="1">
        <v>1370.3373804913199</v>
      </c>
      <c r="P48" s="1">
        <v>0</v>
      </c>
      <c r="R48" s="1">
        <f t="shared" si="0"/>
        <v>1</v>
      </c>
      <c r="V48" s="1">
        <v>420</v>
      </c>
      <c r="W48" s="1">
        <v>680</v>
      </c>
      <c r="X48" s="1">
        <v>2583.0310285197402</v>
      </c>
      <c r="Y48" s="1">
        <v>725.07405465427405</v>
      </c>
      <c r="Z48" s="1">
        <v>539455096.66278005</v>
      </c>
      <c r="AA48" s="1">
        <v>0</v>
      </c>
      <c r="AB48" s="1">
        <v>819</v>
      </c>
      <c r="AC48" s="1">
        <v>1068</v>
      </c>
      <c r="AD48" s="1">
        <v>1729.17625042394</v>
      </c>
      <c r="AE48" s="1">
        <v>917.29912708501001</v>
      </c>
      <c r="AF48" s="1">
        <v>682470550.55124795</v>
      </c>
      <c r="AG48" s="1">
        <v>0</v>
      </c>
      <c r="AH48" s="1">
        <v>1169.1071395169199</v>
      </c>
      <c r="AI48" s="1">
        <v>2.5832575738005299</v>
      </c>
      <c r="AK48" s="1">
        <f t="shared" si="1"/>
        <v>1</v>
      </c>
    </row>
    <row r="49" spans="2:37" s="1" customFormat="1" x14ac:dyDescent="0.25">
      <c r="B49" s="1">
        <v>6</v>
      </c>
      <c r="C49" s="1">
        <v>809</v>
      </c>
      <c r="D49" s="1">
        <v>1284.7369094058099</v>
      </c>
      <c r="E49" s="1">
        <v>2584.9999999840802</v>
      </c>
      <c r="F49" s="1">
        <v>1280</v>
      </c>
      <c r="G49" s="1">
        <v>921600000</v>
      </c>
      <c r="H49" s="1">
        <v>2.4326101549224699</v>
      </c>
      <c r="I49" s="1">
        <v>1386.7369094058099</v>
      </c>
      <c r="J49" s="1">
        <v>1355.4522164263799</v>
      </c>
      <c r="K49" s="1">
        <v>1728.7099999183199</v>
      </c>
      <c r="L49" s="1">
        <v>1120.2526333800799</v>
      </c>
      <c r="M49" s="1">
        <v>806581896.03365803</v>
      </c>
      <c r="N49" s="1">
        <v>0</v>
      </c>
      <c r="O49" s="1">
        <v>1505.9110093823299</v>
      </c>
      <c r="P49" s="1">
        <v>0</v>
      </c>
      <c r="R49" s="1">
        <f t="shared" si="0"/>
        <v>1</v>
      </c>
      <c r="V49" s="1">
        <v>809</v>
      </c>
      <c r="W49" s="1">
        <v>850</v>
      </c>
      <c r="X49" s="1">
        <v>2582.72828076316</v>
      </c>
      <c r="Y49" s="1">
        <v>893.498803226924</v>
      </c>
      <c r="Z49" s="1">
        <v>643319138.323385</v>
      </c>
      <c r="AA49" s="1">
        <v>0</v>
      </c>
      <c r="AB49" s="1">
        <v>952</v>
      </c>
      <c r="AC49" s="1">
        <v>1172</v>
      </c>
      <c r="AD49" s="1">
        <v>1724.2077711531999</v>
      </c>
      <c r="AE49" s="1">
        <v>955.21823633709698</v>
      </c>
      <c r="AF49" s="1">
        <v>687757130.16270995</v>
      </c>
      <c r="AG49" s="1">
        <v>0</v>
      </c>
      <c r="AH49" s="1">
        <v>1322.45879295595</v>
      </c>
      <c r="AI49" s="1">
        <v>0.81926705274724998</v>
      </c>
      <c r="AK49" s="1">
        <f t="shared" si="1"/>
        <v>1</v>
      </c>
    </row>
    <row r="50" spans="2:37" x14ac:dyDescent="0.25">
      <c r="G50">
        <f>SUM(G2:G49)/100000000</f>
        <v>330.70409647842803</v>
      </c>
      <c r="H50">
        <f>SUM(H2:H49)</f>
        <v>76.820620090796595</v>
      </c>
      <c r="M50">
        <f>SUM(M2:M49)/100000000</f>
        <v>315.23658220645001</v>
      </c>
      <c r="N50">
        <f>SUM(N2:N49)</f>
        <v>67.577474340092394</v>
      </c>
      <c r="Z50">
        <f>SUM(Z2:Z49)/100000000</f>
        <v>324.71059311682899</v>
      </c>
      <c r="AA50">
        <f>SUM(AA2:AA49)</f>
        <v>130.29887192698999</v>
      </c>
      <c r="AF50">
        <f>SUM(AF2:AF49)/100000000</f>
        <v>332.953500886114</v>
      </c>
      <c r="AG50">
        <f>SUM(AG2:AG49)</f>
        <v>75.6487713041803</v>
      </c>
    </row>
    <row r="51" spans="2:37" x14ac:dyDescent="0.25">
      <c r="M51">
        <f>G50+M50</f>
        <v>645.940678684879</v>
      </c>
      <c r="N51">
        <f>H50+N50</f>
        <v>144.39809443088899</v>
      </c>
      <c r="AF51">
        <f>Z50+AF50</f>
        <v>657.66409400294401</v>
      </c>
      <c r="AG51">
        <f>AA50+AG50</f>
        <v>205.94764323116999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晓</cp:lastModifiedBy>
  <dcterms:created xsi:type="dcterms:W3CDTF">2023-05-12T11:15:00Z</dcterms:created>
  <dcterms:modified xsi:type="dcterms:W3CDTF">2026-08-15T04:47:34Z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9B261C08E281415AA8FA2EDEF8C9012A_13</vt:lpwstr>
  </property>
  <property fmtid="{D5CDD505-2E9C-101B-9397-08002B2CF9AE}" pid="4" name="CalculationRule">
    <vt:i4>0</vt:i4>
  </property>
</Properties>
</file>