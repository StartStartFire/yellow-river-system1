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evenfall/Desktop/长系列协同度最大-龙、刘-多目标最新/"/>
    </mc:Choice>
  </mc:AlternateContent>
  <xr:revisionPtr revIDLastSave="0" documentId="13_ncr:1_{96E0E33F-C7AF-DB4C-BBC4-E24E4F8B0211}" xr6:coauthVersionLast="47" xr6:coauthVersionMax="47" xr10:uidLastSave="{00000000-0000-0000-0000-000000000000}"/>
  <bookViews>
    <workbookView xWindow="1620" yWindow="460" windowWidth="32100" windowHeight="21140" firstSheet="1" activeTab="6" xr2:uid="{00000000-000D-0000-FFFF-FFFF00000000}"/>
  </bookViews>
  <sheets>
    <sheet name="LONGLIU-BOUND" sheetId="11" r:id="rId1"/>
    <sheet name="LAN" sheetId="12" r:id="rId2"/>
    <sheet name="LAN-unagr" sheetId="21" r:id="rId3"/>
    <sheet name="LAN-agr" sheetId="22" r:id="rId4"/>
    <sheet name="longliu_water" sheetId="23" r:id="rId5"/>
    <sheet name="liulan_water" sheetId="24" r:id="rId6"/>
    <sheet name="xixian_up" sheetId="25" r:id="rId7"/>
    <sheet name="xixian_down" sheetId="26" r:id="rId8"/>
    <sheet name="Q_eco" sheetId="20" r:id="rId9"/>
    <sheet name="LONG-ZQ" sheetId="1" r:id="rId10"/>
    <sheet name="LONG-ZV" sheetId="2" r:id="rId11"/>
    <sheet name="LIU-ZQ" sheetId="7" r:id="rId12"/>
    <sheet name="LIU-ZV" sheetId="8" r:id="rId13"/>
    <sheet name="CANSHU" sheetId="9" r:id="rId14"/>
    <sheet name="LONGIN" sheetId="3" r:id="rId15"/>
    <sheet name="LONG-LIU" sheetId="4" r:id="rId16"/>
    <sheet name="LIU-LAN" sheetId="5" r:id="rId17"/>
    <sheet name="P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5" i="19" l="1"/>
  <c r="K54" i="19"/>
  <c r="K53" i="19"/>
  <c r="K52" i="19"/>
  <c r="K51" i="19"/>
  <c r="K50" i="19"/>
  <c r="K49" i="19"/>
  <c r="K48" i="19"/>
  <c r="K47" i="19"/>
  <c r="K46" i="19"/>
  <c r="K45" i="19"/>
  <c r="K44" i="19"/>
  <c r="K43" i="19"/>
  <c r="K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K6" i="19"/>
  <c r="K5" i="19"/>
  <c r="K4" i="19"/>
  <c r="K3" i="19"/>
  <c r="K2" i="19"/>
  <c r="N55" i="5"/>
  <c r="Q52" i="5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2" i="19"/>
  <c r="C787" i="4"/>
  <c r="C786" i="4"/>
  <c r="C785" i="4"/>
  <c r="K41" i="4"/>
  <c r="J41" i="4"/>
  <c r="I41" i="4"/>
  <c r="G2" i="9"/>
  <c r="P201" i="11"/>
  <c r="L201" i="11"/>
  <c r="K201" i="11"/>
  <c r="P200" i="11"/>
  <c r="L200" i="11"/>
  <c r="K200" i="11"/>
  <c r="P199" i="11"/>
  <c r="L199" i="11"/>
  <c r="K199" i="11"/>
  <c r="P198" i="11"/>
  <c r="L198" i="11"/>
  <c r="K198" i="11"/>
  <c r="P197" i="11"/>
  <c r="L197" i="11"/>
  <c r="K197" i="11"/>
  <c r="P196" i="11"/>
  <c r="L196" i="11"/>
  <c r="K196" i="11"/>
  <c r="P195" i="11"/>
  <c r="L195" i="11"/>
  <c r="K195" i="11"/>
  <c r="P194" i="11"/>
  <c r="L194" i="11"/>
  <c r="K194" i="11"/>
  <c r="P193" i="11"/>
  <c r="L193" i="11"/>
  <c r="K193" i="11"/>
  <c r="P192" i="11"/>
  <c r="L192" i="11"/>
  <c r="K192" i="11"/>
  <c r="P191" i="11"/>
  <c r="L191" i="11"/>
  <c r="K191" i="11"/>
  <c r="P190" i="11"/>
  <c r="L190" i="11"/>
  <c r="K190" i="11"/>
  <c r="P189" i="11"/>
  <c r="L189" i="11"/>
  <c r="K189" i="11"/>
  <c r="P188" i="11"/>
  <c r="L188" i="11"/>
  <c r="K188" i="11"/>
  <c r="P187" i="11"/>
  <c r="L187" i="11"/>
  <c r="K187" i="11"/>
  <c r="P186" i="11"/>
  <c r="L186" i="11"/>
  <c r="K186" i="11"/>
  <c r="P185" i="11"/>
  <c r="L185" i="11"/>
  <c r="K185" i="11"/>
  <c r="P184" i="11"/>
  <c r="L184" i="11"/>
  <c r="K184" i="11"/>
  <c r="P183" i="11"/>
  <c r="L183" i="11"/>
  <c r="K183" i="11"/>
  <c r="P182" i="11"/>
  <c r="L182" i="11"/>
  <c r="K182" i="11"/>
  <c r="P181" i="11"/>
  <c r="L181" i="11"/>
  <c r="K181" i="11"/>
  <c r="P180" i="11"/>
  <c r="L180" i="11"/>
  <c r="K180" i="11"/>
  <c r="P179" i="11"/>
  <c r="L179" i="11"/>
  <c r="K179" i="11"/>
  <c r="P178" i="11"/>
  <c r="L178" i="11"/>
  <c r="K178" i="11"/>
  <c r="P177" i="11"/>
  <c r="L177" i="11"/>
  <c r="K177" i="11"/>
  <c r="P176" i="11"/>
  <c r="L176" i="11"/>
  <c r="K176" i="11"/>
  <c r="P175" i="11"/>
  <c r="L175" i="11"/>
  <c r="K175" i="11"/>
  <c r="P174" i="11"/>
  <c r="L174" i="11"/>
  <c r="K174" i="11"/>
  <c r="P173" i="11"/>
  <c r="L173" i="11"/>
  <c r="K173" i="11"/>
  <c r="P172" i="11"/>
  <c r="L172" i="11"/>
  <c r="K172" i="11"/>
  <c r="P171" i="11"/>
  <c r="L171" i="11"/>
  <c r="K171" i="11"/>
  <c r="P170" i="11"/>
  <c r="L170" i="11"/>
  <c r="K170" i="11"/>
  <c r="P169" i="11"/>
  <c r="L169" i="11"/>
  <c r="K169" i="11"/>
  <c r="P168" i="11"/>
  <c r="L168" i="11"/>
  <c r="K168" i="11"/>
  <c r="P167" i="11"/>
  <c r="L167" i="11"/>
  <c r="K167" i="11"/>
  <c r="P166" i="11"/>
  <c r="L166" i="11"/>
  <c r="K166" i="11"/>
  <c r="P165" i="11"/>
  <c r="L165" i="11"/>
  <c r="K165" i="11"/>
  <c r="P164" i="11"/>
  <c r="L164" i="11"/>
  <c r="K164" i="11"/>
  <c r="P163" i="11"/>
  <c r="L163" i="11"/>
  <c r="K163" i="11"/>
  <c r="P162" i="11"/>
  <c r="L162" i="11"/>
  <c r="K162" i="11"/>
  <c r="P161" i="11"/>
  <c r="L161" i="11"/>
  <c r="K161" i="11"/>
  <c r="P160" i="11"/>
  <c r="L160" i="11"/>
  <c r="K160" i="11"/>
  <c r="P159" i="11"/>
  <c r="L159" i="11"/>
  <c r="K159" i="11"/>
  <c r="P158" i="11"/>
  <c r="L158" i="11"/>
  <c r="K158" i="11"/>
  <c r="P157" i="11"/>
  <c r="L157" i="11"/>
  <c r="K157" i="11"/>
  <c r="P156" i="11"/>
  <c r="L156" i="11"/>
  <c r="K156" i="11"/>
  <c r="P155" i="11"/>
  <c r="L155" i="11"/>
  <c r="K155" i="11"/>
  <c r="P154" i="11"/>
  <c r="L154" i="11"/>
  <c r="K154" i="11"/>
  <c r="P153" i="11"/>
  <c r="L153" i="11"/>
  <c r="K153" i="11"/>
  <c r="P152" i="11"/>
  <c r="L152" i="11"/>
  <c r="K152" i="11"/>
  <c r="P151" i="11"/>
  <c r="L151" i="11"/>
  <c r="K151" i="11"/>
  <c r="P150" i="11"/>
  <c r="L150" i="11"/>
  <c r="K150" i="11"/>
  <c r="P149" i="11"/>
  <c r="L149" i="11"/>
  <c r="K149" i="11"/>
  <c r="P148" i="11"/>
  <c r="L148" i="11"/>
  <c r="K148" i="11"/>
  <c r="P147" i="11"/>
  <c r="L147" i="11"/>
  <c r="K147" i="11"/>
  <c r="P146" i="11"/>
  <c r="L146" i="11"/>
  <c r="K146" i="11"/>
  <c r="P145" i="11"/>
  <c r="L145" i="11"/>
  <c r="K145" i="11"/>
  <c r="P144" i="11"/>
  <c r="L144" i="11"/>
  <c r="K144" i="11"/>
  <c r="P143" i="11"/>
  <c r="L143" i="11"/>
  <c r="K143" i="11"/>
  <c r="P142" i="11"/>
  <c r="L142" i="11"/>
  <c r="K142" i="11"/>
  <c r="P141" i="11"/>
  <c r="L141" i="11"/>
  <c r="K141" i="11"/>
  <c r="P140" i="11"/>
  <c r="L140" i="11"/>
  <c r="K140" i="11"/>
  <c r="P139" i="11"/>
  <c r="L139" i="11"/>
  <c r="K139" i="11"/>
  <c r="P138" i="11"/>
  <c r="L138" i="11"/>
  <c r="K138" i="11"/>
  <c r="P137" i="11"/>
  <c r="L137" i="11"/>
  <c r="K137" i="11"/>
  <c r="P136" i="11"/>
  <c r="L136" i="11"/>
  <c r="K136" i="11"/>
  <c r="P135" i="11"/>
  <c r="L135" i="11"/>
  <c r="K135" i="11"/>
  <c r="P134" i="11"/>
  <c r="L134" i="11"/>
  <c r="K134" i="11"/>
  <c r="P133" i="11"/>
  <c r="L133" i="11"/>
  <c r="K133" i="11"/>
  <c r="P132" i="11"/>
  <c r="L132" i="11"/>
  <c r="K132" i="11"/>
  <c r="P131" i="11"/>
  <c r="L131" i="11"/>
  <c r="K131" i="11"/>
  <c r="P130" i="11"/>
  <c r="L130" i="11"/>
  <c r="K130" i="11"/>
  <c r="P129" i="11"/>
  <c r="L129" i="11"/>
  <c r="K129" i="11"/>
  <c r="P128" i="11"/>
  <c r="L128" i="11"/>
  <c r="K128" i="11"/>
  <c r="P127" i="11"/>
  <c r="L127" i="11"/>
  <c r="K127" i="11"/>
  <c r="P126" i="11"/>
  <c r="L126" i="11"/>
  <c r="K126" i="11"/>
  <c r="P125" i="11"/>
  <c r="L125" i="11"/>
  <c r="K125" i="11"/>
  <c r="P124" i="11"/>
  <c r="L124" i="11"/>
  <c r="K124" i="11"/>
  <c r="P123" i="11"/>
  <c r="L123" i="11"/>
  <c r="K123" i="11"/>
  <c r="P122" i="11"/>
  <c r="L122" i="11"/>
  <c r="K122" i="11"/>
  <c r="P121" i="11"/>
  <c r="L121" i="11"/>
  <c r="K121" i="11"/>
  <c r="P120" i="11"/>
  <c r="L120" i="11"/>
  <c r="K120" i="11"/>
  <c r="P119" i="11"/>
  <c r="L119" i="11"/>
  <c r="K119" i="11"/>
  <c r="P118" i="11"/>
  <c r="L118" i="11"/>
  <c r="K118" i="11"/>
  <c r="P117" i="11"/>
  <c r="L117" i="11"/>
  <c r="K117" i="11"/>
  <c r="P116" i="11"/>
  <c r="L116" i="11"/>
  <c r="K116" i="11"/>
  <c r="P115" i="11"/>
  <c r="L115" i="11"/>
  <c r="K115" i="11"/>
  <c r="P114" i="11"/>
  <c r="L114" i="11"/>
  <c r="K114" i="11"/>
  <c r="P113" i="11"/>
  <c r="L113" i="11"/>
  <c r="K113" i="11"/>
  <c r="P112" i="11"/>
  <c r="L112" i="11"/>
  <c r="K112" i="11"/>
  <c r="P111" i="11"/>
  <c r="L111" i="11"/>
  <c r="K111" i="11"/>
  <c r="P110" i="11"/>
  <c r="L110" i="11"/>
  <c r="K110" i="11"/>
  <c r="P109" i="11"/>
  <c r="L109" i="11"/>
  <c r="K109" i="11"/>
  <c r="P108" i="11"/>
  <c r="L108" i="11"/>
  <c r="K108" i="11"/>
  <c r="P107" i="11"/>
  <c r="L107" i="11"/>
  <c r="K107" i="11"/>
  <c r="P106" i="11"/>
  <c r="L106" i="11"/>
  <c r="K106" i="11"/>
  <c r="P105" i="11"/>
  <c r="L105" i="11"/>
  <c r="K105" i="11"/>
  <c r="P104" i="11"/>
  <c r="L104" i="11"/>
  <c r="K104" i="11"/>
  <c r="P103" i="11"/>
  <c r="L103" i="11"/>
  <c r="K103" i="11"/>
  <c r="P102" i="11"/>
  <c r="L102" i="11"/>
  <c r="K102" i="11"/>
  <c r="P101" i="11"/>
  <c r="L101" i="11"/>
  <c r="K101" i="11"/>
  <c r="P100" i="11"/>
  <c r="L100" i="11"/>
  <c r="K100" i="11"/>
  <c r="P99" i="11"/>
  <c r="L99" i="11"/>
  <c r="K99" i="11"/>
  <c r="P98" i="11"/>
  <c r="L98" i="11"/>
  <c r="K98" i="11"/>
  <c r="P97" i="11"/>
  <c r="L97" i="11"/>
  <c r="K97" i="11"/>
  <c r="P96" i="11"/>
  <c r="L96" i="11"/>
  <c r="K96" i="11"/>
  <c r="P95" i="11"/>
  <c r="L95" i="11"/>
  <c r="K95" i="11"/>
  <c r="P94" i="11"/>
  <c r="L94" i="11"/>
  <c r="K94" i="11"/>
  <c r="P93" i="11"/>
  <c r="L93" i="11"/>
  <c r="K93" i="11"/>
  <c r="P92" i="11"/>
  <c r="L92" i="11"/>
  <c r="K92" i="11"/>
  <c r="P91" i="11"/>
  <c r="L91" i="11"/>
  <c r="K91" i="11"/>
  <c r="P90" i="11"/>
  <c r="L90" i="11"/>
  <c r="K90" i="11"/>
  <c r="P89" i="11"/>
  <c r="L89" i="11"/>
  <c r="K89" i="11"/>
  <c r="P88" i="11"/>
  <c r="L88" i="11"/>
  <c r="K88" i="11"/>
  <c r="P87" i="11"/>
  <c r="L87" i="11"/>
  <c r="K87" i="11"/>
  <c r="P86" i="11"/>
  <c r="L86" i="11"/>
  <c r="K86" i="11"/>
  <c r="P85" i="11"/>
  <c r="L85" i="11"/>
  <c r="K85" i="11"/>
  <c r="P84" i="11"/>
  <c r="L84" i="11"/>
  <c r="K84" i="11"/>
  <c r="P83" i="11"/>
  <c r="L83" i="11"/>
  <c r="K83" i="11"/>
  <c r="P82" i="11"/>
  <c r="L82" i="11"/>
  <c r="K82" i="11"/>
  <c r="P81" i="11"/>
  <c r="L81" i="11"/>
  <c r="K81" i="11"/>
  <c r="P80" i="11"/>
  <c r="L80" i="11"/>
  <c r="K80" i="11"/>
  <c r="P79" i="11"/>
  <c r="L79" i="11"/>
  <c r="K79" i="11"/>
  <c r="P78" i="11"/>
  <c r="L78" i="11"/>
  <c r="K78" i="11"/>
  <c r="P77" i="11"/>
  <c r="L77" i="11"/>
  <c r="K77" i="11"/>
  <c r="P76" i="11"/>
  <c r="L76" i="11"/>
  <c r="K76" i="11"/>
  <c r="P75" i="11"/>
  <c r="L75" i="11"/>
  <c r="K75" i="11"/>
  <c r="P74" i="11"/>
  <c r="L74" i="11"/>
  <c r="K74" i="11"/>
  <c r="P73" i="11"/>
  <c r="L73" i="11"/>
  <c r="K73" i="11"/>
  <c r="P72" i="11"/>
  <c r="L72" i="11"/>
  <c r="K72" i="11"/>
  <c r="P71" i="11"/>
  <c r="L71" i="11"/>
  <c r="K71" i="11"/>
  <c r="P70" i="11"/>
  <c r="L70" i="11"/>
  <c r="K70" i="11"/>
  <c r="P69" i="11"/>
  <c r="L69" i="11"/>
  <c r="K69" i="11"/>
  <c r="P68" i="11"/>
  <c r="L68" i="11"/>
  <c r="K68" i="11"/>
  <c r="P67" i="11"/>
  <c r="L67" i="11"/>
  <c r="K67" i="11"/>
  <c r="P66" i="11"/>
  <c r="L66" i="11"/>
  <c r="K66" i="11"/>
  <c r="P65" i="11"/>
  <c r="L65" i="11"/>
  <c r="K65" i="11"/>
  <c r="P64" i="11"/>
  <c r="L64" i="11"/>
  <c r="K64" i="11"/>
  <c r="P63" i="11"/>
  <c r="L63" i="11"/>
  <c r="K63" i="11"/>
  <c r="P62" i="11"/>
  <c r="L62" i="11"/>
  <c r="K62" i="11"/>
  <c r="P61" i="11"/>
  <c r="L61" i="11"/>
  <c r="K61" i="11"/>
  <c r="P60" i="11"/>
  <c r="L60" i="11"/>
  <c r="K60" i="11"/>
  <c r="P59" i="11"/>
  <c r="L59" i="11"/>
  <c r="K59" i="11"/>
  <c r="P58" i="11"/>
  <c r="L58" i="11"/>
  <c r="K58" i="11"/>
  <c r="P57" i="11"/>
  <c r="L57" i="11"/>
  <c r="K57" i="11"/>
  <c r="P56" i="11"/>
  <c r="L56" i="11"/>
  <c r="K56" i="11"/>
  <c r="P55" i="11"/>
  <c r="L55" i="11"/>
  <c r="K55" i="11"/>
  <c r="P54" i="11"/>
  <c r="L54" i="11"/>
  <c r="K54" i="11"/>
  <c r="P53" i="11"/>
  <c r="L53" i="11"/>
  <c r="K53" i="11"/>
  <c r="P52" i="11"/>
  <c r="L52" i="11"/>
  <c r="K52" i="11"/>
  <c r="P51" i="11"/>
  <c r="L51" i="11"/>
  <c r="K51" i="11"/>
  <c r="P50" i="11"/>
  <c r="L50" i="11"/>
  <c r="K50" i="11"/>
  <c r="P49" i="11"/>
  <c r="L49" i="11"/>
  <c r="K49" i="11"/>
  <c r="P48" i="11"/>
  <c r="L48" i="11"/>
  <c r="K48" i="11"/>
  <c r="P47" i="11"/>
  <c r="L47" i="11"/>
  <c r="K47" i="11"/>
  <c r="P46" i="11"/>
  <c r="L46" i="11"/>
  <c r="K46" i="11"/>
  <c r="P45" i="11"/>
  <c r="L45" i="11"/>
  <c r="K45" i="11"/>
  <c r="P44" i="11"/>
  <c r="L44" i="11"/>
  <c r="K44" i="11"/>
  <c r="P43" i="11"/>
  <c r="L43" i="11"/>
  <c r="K43" i="11"/>
  <c r="P42" i="11"/>
  <c r="L42" i="11"/>
  <c r="K42" i="11"/>
  <c r="P41" i="11"/>
  <c r="L41" i="11"/>
  <c r="K41" i="11"/>
  <c r="P40" i="11"/>
  <c r="L40" i="11"/>
  <c r="K40" i="11"/>
  <c r="P39" i="11"/>
  <c r="L39" i="11"/>
  <c r="K39" i="11"/>
  <c r="P38" i="11"/>
  <c r="L38" i="11"/>
  <c r="K38" i="11"/>
  <c r="P37" i="11"/>
  <c r="L37" i="11"/>
  <c r="K37" i="11"/>
  <c r="P36" i="11"/>
  <c r="L36" i="11"/>
  <c r="K36" i="11"/>
  <c r="P35" i="11"/>
  <c r="L35" i="11"/>
  <c r="K35" i="11"/>
  <c r="P34" i="11"/>
  <c r="L34" i="11"/>
  <c r="K34" i="11"/>
  <c r="P33" i="11"/>
  <c r="L33" i="11"/>
  <c r="K33" i="11"/>
  <c r="P32" i="11"/>
  <c r="L32" i="11"/>
  <c r="K32" i="11"/>
  <c r="P31" i="11"/>
  <c r="L31" i="11"/>
  <c r="K31" i="11"/>
  <c r="P30" i="11"/>
  <c r="L30" i="11"/>
  <c r="K30" i="11"/>
  <c r="P29" i="11"/>
  <c r="L29" i="11"/>
  <c r="K29" i="11"/>
  <c r="P28" i="11"/>
  <c r="L28" i="11"/>
  <c r="K28" i="11"/>
  <c r="P27" i="11"/>
  <c r="L27" i="11"/>
  <c r="K27" i="11"/>
  <c r="P26" i="11"/>
  <c r="L26" i="11"/>
  <c r="K26" i="11"/>
  <c r="P25" i="11"/>
  <c r="L25" i="11"/>
  <c r="K25" i="11"/>
  <c r="P24" i="11"/>
  <c r="L24" i="11"/>
  <c r="K24" i="11"/>
  <c r="P23" i="11"/>
  <c r="L23" i="11"/>
  <c r="K23" i="11"/>
  <c r="P22" i="11"/>
  <c r="L22" i="11"/>
  <c r="K22" i="11"/>
  <c r="P21" i="11"/>
  <c r="L21" i="11"/>
  <c r="K21" i="11"/>
  <c r="P20" i="11"/>
  <c r="L20" i="11"/>
  <c r="K20" i="11"/>
  <c r="P19" i="11"/>
  <c r="L19" i="11"/>
  <c r="K19" i="11"/>
  <c r="P18" i="11"/>
  <c r="L18" i="11"/>
  <c r="K18" i="11"/>
  <c r="P17" i="11"/>
  <c r="L17" i="11"/>
  <c r="K17" i="11"/>
  <c r="P16" i="11"/>
  <c r="L16" i="11"/>
  <c r="K16" i="11"/>
  <c r="P15" i="11"/>
  <c r="L15" i="11"/>
  <c r="K15" i="11"/>
  <c r="P14" i="11"/>
  <c r="L14" i="11"/>
  <c r="K14" i="11"/>
  <c r="P13" i="11"/>
  <c r="L13" i="11"/>
  <c r="K13" i="11"/>
  <c r="P12" i="11"/>
  <c r="L12" i="11"/>
  <c r="K12" i="11"/>
  <c r="P11" i="11"/>
  <c r="L11" i="11"/>
  <c r="K11" i="11"/>
  <c r="P10" i="11"/>
  <c r="L10" i="11"/>
  <c r="K10" i="11"/>
  <c r="P9" i="11"/>
  <c r="L9" i="11"/>
  <c r="K9" i="11"/>
  <c r="P8" i="11"/>
  <c r="L8" i="11"/>
  <c r="K8" i="11"/>
  <c r="P7" i="11"/>
  <c r="L7" i="11"/>
  <c r="K7" i="11"/>
  <c r="P6" i="11"/>
  <c r="L6" i="11"/>
  <c r="K6" i="11"/>
  <c r="P5" i="11"/>
  <c r="L5" i="11"/>
  <c r="K5" i="11"/>
  <c r="P4" i="11"/>
  <c r="L4" i="11"/>
  <c r="K4" i="11"/>
  <c r="P3" i="11"/>
  <c r="L3" i="11"/>
  <c r="K3" i="11"/>
  <c r="P2" i="11"/>
  <c r="L2" i="11"/>
  <c r="K2" i="11"/>
</calcChain>
</file>

<file path=xl/sharedStrings.xml><?xml version="1.0" encoding="utf-8"?>
<sst xmlns="http://schemas.openxmlformats.org/spreadsheetml/2006/main" count="1075" uniqueCount="133">
  <si>
    <t>月份</t>
  </si>
  <si>
    <t>龙、刘水位下限</t>
  </si>
  <si>
    <t>龙、刘水位上限</t>
  </si>
  <si>
    <t>龙羊峡入库</t>
  </si>
  <si>
    <t>兰州断面需水</t>
  </si>
  <si>
    <t>7上</t>
  </si>
  <si>
    <t>7中</t>
  </si>
  <si>
    <t>7下</t>
  </si>
  <si>
    <t>8上</t>
  </si>
  <si>
    <t>8中</t>
  </si>
  <si>
    <t>8下</t>
  </si>
  <si>
    <t>5上</t>
  </si>
  <si>
    <t>5中</t>
  </si>
  <si>
    <t>5下</t>
  </si>
  <si>
    <t>6上</t>
  </si>
  <si>
    <t>6中</t>
  </si>
  <si>
    <t>6下</t>
  </si>
  <si>
    <t>年</t>
  </si>
  <si>
    <t>月</t>
  </si>
  <si>
    <r>
      <rPr>
        <sz val="11"/>
        <color theme="1"/>
        <rFont val="等线"/>
        <family val="4"/>
        <charset val="134"/>
        <scheme val="minor"/>
      </rPr>
      <t>2030年</t>
    </r>
    <r>
      <rPr>
        <sz val="11"/>
        <color theme="1"/>
        <rFont val="等线"/>
        <family val="4"/>
        <charset val="134"/>
        <scheme val="minor"/>
      </rPr>
      <t>兰州断面综合需水</t>
    </r>
  </si>
  <si>
    <t>1990年</t>
  </si>
  <si>
    <t>1991年</t>
  </si>
  <si>
    <t>1992年</t>
  </si>
  <si>
    <t>1993年</t>
  </si>
  <si>
    <t>1994年</t>
  </si>
  <si>
    <t>1995年</t>
  </si>
  <si>
    <t>1996年</t>
  </si>
  <si>
    <t>1997年</t>
  </si>
  <si>
    <t>1998年</t>
  </si>
  <si>
    <t>1999年</t>
  </si>
  <si>
    <t>2000年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</si>
  <si>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</si>
  <si>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</si>
  <si>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</si>
  <si>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</si>
  <si>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</si>
  <si>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</si>
  <si>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</si>
  <si>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</si>
  <si>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</si>
  <si>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</si>
  <si>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</si>
  <si>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</si>
  <si>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</si>
  <si>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</si>
  <si>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</si>
  <si>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1970年</t>
  </si>
  <si>
    <t>1971年</t>
  </si>
  <si>
    <t>1972年</t>
  </si>
  <si>
    <t>1973年</t>
  </si>
  <si>
    <t>1974年</t>
  </si>
  <si>
    <t>1975年</t>
  </si>
  <si>
    <t>1976年</t>
  </si>
  <si>
    <t>1977年</t>
  </si>
  <si>
    <t>1978年</t>
  </si>
  <si>
    <t>1979年</t>
  </si>
  <si>
    <t>1980年</t>
  </si>
  <si>
    <t>1981年</t>
  </si>
  <si>
    <t>1982年</t>
  </si>
  <si>
    <t>1983年</t>
  </si>
  <si>
    <t>1984年</t>
  </si>
  <si>
    <t>1985年</t>
  </si>
  <si>
    <t>1986年</t>
  </si>
  <si>
    <t>1987年</t>
  </si>
  <si>
    <t>1988年</t>
  </si>
  <si>
    <t>1989年</t>
  </si>
  <si>
    <t>7月上旬</t>
  </si>
  <si>
    <t>7月中旬</t>
  </si>
  <si>
    <t>7月下旬</t>
  </si>
  <si>
    <t>8月上旬</t>
  </si>
  <si>
    <t>8月中旬</t>
  </si>
  <si>
    <t>8月下旬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</si>
  <si>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</si>
  <si>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</si>
  <si>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</si>
  <si>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</si>
  <si>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</si>
  <si>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</si>
  <si>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</si>
  <si>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</si>
  <si>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5月上旬</t>
  </si>
  <si>
    <t>5月中旬</t>
  </si>
  <si>
    <t>5月下旬</t>
  </si>
  <si>
    <t>6月上旬</t>
  </si>
  <si>
    <t>6月中旬</t>
  </si>
  <si>
    <t>6月下旬</t>
  </si>
  <si>
    <t>生态需水</t>
  </si>
  <si>
    <t>Z</t>
  </si>
  <si>
    <t>Q</t>
  </si>
  <si>
    <t>V</t>
  </si>
  <si>
    <t>梯级名称</t>
  </si>
  <si>
    <t>保证出力（MW）</t>
  </si>
  <si>
    <t>装机容量（MW）</t>
  </si>
  <si>
    <t>出力系数</t>
  </si>
  <si>
    <t>设计水头</t>
  </si>
  <si>
    <t>起调水位</t>
  </si>
  <si>
    <t>龙羊峡</t>
  </si>
  <si>
    <t>拉西瓦</t>
  </si>
  <si>
    <t>尼那</t>
  </si>
  <si>
    <t>李家峡</t>
  </si>
  <si>
    <t>直岗拉卡</t>
  </si>
  <si>
    <t>康杨</t>
  </si>
  <si>
    <t>公伯峡</t>
  </si>
  <si>
    <t>苏只</t>
  </si>
  <si>
    <t>刘家峡</t>
  </si>
  <si>
    <t>盐锅峡</t>
  </si>
  <si>
    <t>八盘峡</t>
  </si>
  <si>
    <t>小峡</t>
  </si>
  <si>
    <t>大峡</t>
  </si>
  <si>
    <t>青铜峡</t>
  </si>
  <si>
    <t>万家寨</t>
  </si>
  <si>
    <t>三门峡</t>
  </si>
  <si>
    <t>小浪底</t>
  </si>
  <si>
    <t>龙刘区间</t>
  </si>
  <si>
    <t>刘兰区间</t>
  </si>
  <si>
    <t>年份</t>
  </si>
  <si>
    <t>年水量（7月至六月）</t>
  </si>
  <si>
    <t>年水量排序</t>
  </si>
  <si>
    <t>来水频率</t>
  </si>
  <si>
    <t>2016年</t>
  </si>
  <si>
    <t>2017年</t>
  </si>
  <si>
    <t>2018年</t>
  </si>
  <si>
    <t>2019年</t>
  </si>
  <si>
    <t>2020年</t>
  </si>
  <si>
    <t>2021年</t>
  </si>
  <si>
    <t>2022年</t>
  </si>
  <si>
    <t>2023年</t>
  </si>
  <si>
    <t>1970年</t>
    <phoneticPr fontId="7" type="noConversion"/>
  </si>
  <si>
    <t>1971年</t>
    <phoneticPr fontId="7" type="noConversion"/>
  </si>
  <si>
    <t>枯水年</t>
  </si>
  <si>
    <t>1990-2002枯水段</t>
  </si>
  <si>
    <t>特枯水年</t>
  </si>
  <si>
    <t>极端枯水年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</si>
</sst>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_ "/>
    <numFmt numFmtId="178" formatCode="0.0_ "/>
  </numFmts>
  <fonts count="10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sz val="11"/>
      <color rgb="FFFF0000"/>
      <name val="等线"/>
      <family val="4"/>
      <charset val="134"/>
      <scheme val="minor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等线"/>
      <family val="4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6" fillId="0" borderId="0"/>
  </cellStyleXfs>
  <cellXfs count="7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/>
    <xf numFmtId="0" fontId="1" fillId="0" borderId="0" xfId="0" applyFont="1" applyFill="1" applyBorder="1" applyAlignment="1">
      <alignment horizontal="center" vertical="center"/>
    </xf>
    <xf numFmtId="0" fontId="2" fillId="0" borderId="0" xfId="7" applyFont="1" applyAlignment="1">
      <alignment horizontal="center"/>
    </xf>
    <xf numFmtId="0" fontId="2" fillId="3" borderId="0" xfId="7" applyFont="1" applyFill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0" fontId="2" fillId="2" borderId="0" xfId="7" applyFont="1" applyFill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2" applyFont="1" applyFill="1" applyBorder="1" applyAlignment="1">
      <alignment horizontal="center" vertical="center"/>
    </xf>
    <xf numFmtId="0" fontId="3" fillId="0" borderId="0" xfId="4" applyFont="1" applyFill="1" applyBorder="1" applyAlignment="1">
      <alignment horizontal="center" vertical="center"/>
    </xf>
    <xf numFmtId="0" fontId="3" fillId="0" borderId="0" xfId="4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 wrapText="1"/>
    </xf>
    <xf numFmtId="0" fontId="0" fillId="0" borderId="0" xfId="0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 wrapText="1"/>
    </xf>
    <xf numFmtId="177" fontId="0" fillId="0" borderId="2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177" fontId="0" fillId="0" borderId="0" xfId="0" applyNumberFormat="1"/>
    <xf numFmtId="177" fontId="4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177" fontId="3" fillId="0" borderId="1" xfId="6" applyNumberFormat="1" applyFont="1" applyFill="1" applyBorder="1" applyAlignment="1">
      <alignment horizontal="right" wrapText="1"/>
    </xf>
    <xf numFmtId="177" fontId="3" fillId="0" borderId="3" xfId="6" applyNumberFormat="1" applyFont="1" applyFill="1" applyBorder="1" applyAlignment="1">
      <alignment horizontal="center" vertical="center" wrapText="1"/>
    </xf>
    <xf numFmtId="177" fontId="3" fillId="0" borderId="1" xfId="6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2" xfId="0" applyFill="1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177" fontId="4" fillId="0" borderId="0" xfId="0" applyNumberFormat="1" applyFont="1" applyBorder="1" applyAlignment="1">
      <alignment horizontal="center" vertical="center"/>
    </xf>
    <xf numFmtId="177" fontId="0" fillId="0" borderId="0" xfId="0" applyNumberFormat="1" applyBorder="1"/>
    <xf numFmtId="0" fontId="0" fillId="0" borderId="2" xfId="0" applyBorder="1" applyAlignment="1">
      <alignment horizontal="center"/>
    </xf>
    <xf numFmtId="177" fontId="0" fillId="0" borderId="2" xfId="0" applyNumberFormat="1" applyBorder="1" applyAlignment="1">
      <alignment horizontal="center"/>
    </xf>
    <xf numFmtId="177" fontId="0" fillId="0" borderId="0" xfId="0" applyNumberFormat="1" applyFill="1" applyBorder="1" applyAlignment="1">
      <alignment horizont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77" fontId="2" fillId="0" borderId="0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77" fontId="0" fillId="0" borderId="0" xfId="0" applyNumberFormat="1" applyFill="1" applyAlignment="1">
      <alignment horizontal="center"/>
    </xf>
    <xf numFmtId="0" fontId="4" fillId="0" borderId="0" xfId="0" applyFont="1"/>
    <xf numFmtId="10" fontId="4" fillId="0" borderId="0" xfId="0" applyNumberFormat="1" applyFont="1"/>
    <xf numFmtId="10" fontId="0" fillId="0" borderId="0" xfId="0" applyNumberFormat="1"/>
    <xf numFmtId="0" fontId="4" fillId="2" borderId="0" xfId="0" applyFont="1" applyFill="1"/>
    <xf numFmtId="10" fontId="4" fillId="2" borderId="0" xfId="0" applyNumberFormat="1" applyFont="1" applyFill="1"/>
    <xf numFmtId="0" fontId="4" fillId="4" borderId="0" xfId="0" applyFont="1" applyFill="1"/>
    <xf numFmtId="10" fontId="4" fillId="4" borderId="0" xfId="0" applyNumberFormat="1" applyFont="1" applyFill="1"/>
    <xf numFmtId="0" fontId="0" fillId="4" borderId="0" xfId="0" applyFill="1"/>
    <xf numFmtId="0" fontId="4" fillId="5" borderId="0" xfId="0" applyFont="1" applyFill="1"/>
    <xf numFmtId="10" fontId="4" fillId="5" borderId="0" xfId="0" applyNumberFormat="1" applyFont="1" applyFill="1"/>
    <xf numFmtId="0" fontId="0" fillId="6" borderId="0" xfId="0" applyFill="1"/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7" fontId="0" fillId="0" borderId="2" xfId="0" applyNumberFormat="1" applyBorder="1" applyAlignment="1">
      <alignment vertical="center"/>
    </xf>
    <xf numFmtId="0" fontId="3" fillId="2" borderId="2" xfId="4" applyFont="1" applyFill="1" applyBorder="1" applyAlignment="1">
      <alignment horizontal="center" vertical="center" wrapText="1"/>
    </xf>
    <xf numFmtId="0" fontId="3" fillId="2" borderId="0" xfId="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8">
    <cellStyle name="常规" xfId="0" builtinId="0"/>
    <cellStyle name="常规 2" xfId="3" xr:uid="{00000000-0005-0000-0000-000033000000}"/>
    <cellStyle name="常规_CANSHU" xfId="4" xr:uid="{00000000-0005-0000-0000-000034000000}"/>
    <cellStyle name="常规_LIU-ZQ" xfId="5" xr:uid="{00000000-0005-0000-0000-000035000000}"/>
    <cellStyle name="常规_LIU-ZV" xfId="2" xr:uid="{00000000-0005-0000-0000-000016000000}"/>
    <cellStyle name="常规_Sheet1" xfId="6" xr:uid="{00000000-0005-0000-0000-000036000000}"/>
    <cellStyle name="常规_Z-V" xfId="1" xr:uid="{00000000-0005-0000-0000-00000B000000}"/>
    <cellStyle name="常规_红其折桥" xfId="7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'LONGLIU-BOUND'!$A$2:$A$21</c:f>
              <c:strCache>
                <c:ptCount val="20"/>
                <c:pt idx="0">
                  <c:v>7上</c:v>
                </c:pt>
                <c:pt idx="1">
                  <c:v>7中</c:v>
                </c:pt>
                <c:pt idx="2">
                  <c:v>7下</c:v>
                </c:pt>
                <c:pt idx="3">
                  <c:v>8上</c:v>
                </c:pt>
                <c:pt idx="4">
                  <c:v>8中</c:v>
                </c:pt>
                <c:pt idx="5">
                  <c:v>8下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5上</c:v>
                </c:pt>
                <c:pt idx="15">
                  <c:v>5中</c:v>
                </c:pt>
                <c:pt idx="16">
                  <c:v>5下</c:v>
                </c:pt>
                <c:pt idx="17">
                  <c:v>6上</c:v>
                </c:pt>
                <c:pt idx="18">
                  <c:v>6中</c:v>
                </c:pt>
                <c:pt idx="19">
                  <c:v>6下</c:v>
                </c:pt>
              </c:strCache>
            </c:strRef>
          </c:xVal>
          <c:yVal>
            <c:numRef>
              <c:f>'LONGLIU-BOUND'!$B$2:$B$21</c:f>
              <c:numCache>
                <c:formatCode>General</c:formatCode>
                <c:ptCount val="20"/>
                <c:pt idx="0">
                  <c:v>2530</c:v>
                </c:pt>
                <c:pt idx="1">
                  <c:v>2530</c:v>
                </c:pt>
                <c:pt idx="2">
                  <c:v>2530</c:v>
                </c:pt>
                <c:pt idx="3">
                  <c:v>2530</c:v>
                </c:pt>
                <c:pt idx="4">
                  <c:v>2530</c:v>
                </c:pt>
                <c:pt idx="5">
                  <c:v>2530</c:v>
                </c:pt>
                <c:pt idx="6">
                  <c:v>2530</c:v>
                </c:pt>
                <c:pt idx="7">
                  <c:v>2530</c:v>
                </c:pt>
                <c:pt idx="8">
                  <c:v>2530</c:v>
                </c:pt>
                <c:pt idx="9">
                  <c:v>2530</c:v>
                </c:pt>
                <c:pt idx="10">
                  <c:v>2530</c:v>
                </c:pt>
                <c:pt idx="11">
                  <c:v>2530</c:v>
                </c:pt>
                <c:pt idx="12">
                  <c:v>2530</c:v>
                </c:pt>
                <c:pt idx="13">
                  <c:v>2530</c:v>
                </c:pt>
                <c:pt idx="14">
                  <c:v>2530</c:v>
                </c:pt>
                <c:pt idx="15">
                  <c:v>2530</c:v>
                </c:pt>
                <c:pt idx="16">
                  <c:v>2530</c:v>
                </c:pt>
                <c:pt idx="17">
                  <c:v>2530</c:v>
                </c:pt>
                <c:pt idx="18">
                  <c:v>2530</c:v>
                </c:pt>
                <c:pt idx="19">
                  <c:v>2530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A8-3E43-B835-B3ADC62EB08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'LONGLIU-BOUND'!$A$2:$A$21</c:f>
              <c:strCache>
                <c:ptCount val="20"/>
                <c:pt idx="0">
                  <c:v>7上</c:v>
                </c:pt>
                <c:pt idx="1">
                  <c:v>7中</c:v>
                </c:pt>
                <c:pt idx="2">
                  <c:v>7下</c:v>
                </c:pt>
                <c:pt idx="3">
                  <c:v>8上</c:v>
                </c:pt>
                <c:pt idx="4">
                  <c:v>8中</c:v>
                </c:pt>
                <c:pt idx="5">
                  <c:v>8下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5上</c:v>
                </c:pt>
                <c:pt idx="15">
                  <c:v>5中</c:v>
                </c:pt>
                <c:pt idx="16">
                  <c:v>5下</c:v>
                </c:pt>
                <c:pt idx="17">
                  <c:v>6上</c:v>
                </c:pt>
                <c:pt idx="18">
                  <c:v>6中</c:v>
                </c:pt>
                <c:pt idx="19">
                  <c:v>6下</c:v>
                </c:pt>
              </c:strCache>
            </c:strRef>
          </c:xVal>
          <c:yVal>
            <c:numRef>
              <c:f>'LONGLIU-BOUND'!$C$2:$C$21</c:f>
              <c:numCache>
                <c:formatCode>General</c:formatCode>
                <c:ptCount val="20"/>
                <c:pt idx="0">
                  <c:v>2594</c:v>
                </c:pt>
                <c:pt idx="1">
                  <c:v>2594</c:v>
                </c:pt>
                <c:pt idx="2">
                  <c:v>2594</c:v>
                </c:pt>
                <c:pt idx="3">
                  <c:v>2594</c:v>
                </c:pt>
                <c:pt idx="4">
                  <c:v>2594</c:v>
                </c:pt>
                <c:pt idx="5">
                  <c:v>2594</c:v>
                </c:pt>
                <c:pt idx="6">
                  <c:v>2594</c:v>
                </c:pt>
                <c:pt idx="7">
                  <c:v>2600</c:v>
                </c:pt>
                <c:pt idx="8">
                  <c:v>2600</c:v>
                </c:pt>
                <c:pt idx="9">
                  <c:v>2600</c:v>
                </c:pt>
                <c:pt idx="10">
                  <c:v>2600</c:v>
                </c:pt>
                <c:pt idx="11">
                  <c:v>2600</c:v>
                </c:pt>
                <c:pt idx="12">
                  <c:v>2600</c:v>
                </c:pt>
                <c:pt idx="13">
                  <c:v>2600</c:v>
                </c:pt>
                <c:pt idx="14">
                  <c:v>2600</c:v>
                </c:pt>
                <c:pt idx="15">
                  <c:v>2600</c:v>
                </c:pt>
                <c:pt idx="16">
                  <c:v>2600</c:v>
                </c:pt>
                <c:pt idx="17">
                  <c:v>2600</c:v>
                </c:pt>
                <c:pt idx="18">
                  <c:v>2600</c:v>
                </c:pt>
                <c:pt idx="19">
                  <c:v>2600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A8-3E43-B835-B3ADC62EB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118760"/>
        <c:axId val="599115480"/>
      </c:scatterChart>
      <c:valAx>
        <c:axId val="599118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115480"/>
        <c:crosses val="autoZero"/>
        <c:crossBetween val="midCat"/>
      </c:valAx>
      <c:valAx>
        <c:axId val="59911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118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'LONGLIU-BOUND'!$A$2:$A$21</c:f>
              <c:strCache>
                <c:ptCount val="20"/>
                <c:pt idx="0">
                  <c:v>7上</c:v>
                </c:pt>
                <c:pt idx="1">
                  <c:v>7中</c:v>
                </c:pt>
                <c:pt idx="2">
                  <c:v>7下</c:v>
                </c:pt>
                <c:pt idx="3">
                  <c:v>8上</c:v>
                </c:pt>
                <c:pt idx="4">
                  <c:v>8中</c:v>
                </c:pt>
                <c:pt idx="5">
                  <c:v>8下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5上</c:v>
                </c:pt>
                <c:pt idx="15">
                  <c:v>5中</c:v>
                </c:pt>
                <c:pt idx="16">
                  <c:v>5下</c:v>
                </c:pt>
                <c:pt idx="17">
                  <c:v>6上</c:v>
                </c:pt>
                <c:pt idx="18">
                  <c:v>6中</c:v>
                </c:pt>
                <c:pt idx="19">
                  <c:v>6下</c:v>
                </c:pt>
              </c:strCache>
            </c:strRef>
          </c:xVal>
          <c:yVal>
            <c:numRef>
              <c:f>'LONGLIU-BOUND'!$B$2:$B$21</c:f>
              <c:numCache>
                <c:formatCode>General</c:formatCode>
                <c:ptCount val="20"/>
                <c:pt idx="0">
                  <c:v>2530</c:v>
                </c:pt>
                <c:pt idx="1">
                  <c:v>2530</c:v>
                </c:pt>
                <c:pt idx="2">
                  <c:v>2530</c:v>
                </c:pt>
                <c:pt idx="3">
                  <c:v>2530</c:v>
                </c:pt>
                <c:pt idx="4">
                  <c:v>2530</c:v>
                </c:pt>
                <c:pt idx="5">
                  <c:v>2530</c:v>
                </c:pt>
                <c:pt idx="6">
                  <c:v>2530</c:v>
                </c:pt>
                <c:pt idx="7">
                  <c:v>2530</c:v>
                </c:pt>
                <c:pt idx="8">
                  <c:v>2530</c:v>
                </c:pt>
                <c:pt idx="9">
                  <c:v>2530</c:v>
                </c:pt>
                <c:pt idx="10">
                  <c:v>2530</c:v>
                </c:pt>
                <c:pt idx="11">
                  <c:v>2530</c:v>
                </c:pt>
                <c:pt idx="12">
                  <c:v>2530</c:v>
                </c:pt>
                <c:pt idx="13">
                  <c:v>2530</c:v>
                </c:pt>
                <c:pt idx="14">
                  <c:v>2530</c:v>
                </c:pt>
                <c:pt idx="15">
                  <c:v>2530</c:v>
                </c:pt>
                <c:pt idx="16">
                  <c:v>2530</c:v>
                </c:pt>
                <c:pt idx="17">
                  <c:v>2530</c:v>
                </c:pt>
                <c:pt idx="18">
                  <c:v>2530</c:v>
                </c:pt>
                <c:pt idx="19">
                  <c:v>2530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E1-2641-A859-1369476CB01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'LONGLIU-BOUND'!$A$2:$A$21</c:f>
              <c:strCache>
                <c:ptCount val="20"/>
                <c:pt idx="0">
                  <c:v>7上</c:v>
                </c:pt>
                <c:pt idx="1">
                  <c:v>7中</c:v>
                </c:pt>
                <c:pt idx="2">
                  <c:v>7下</c:v>
                </c:pt>
                <c:pt idx="3">
                  <c:v>8上</c:v>
                </c:pt>
                <c:pt idx="4">
                  <c:v>8中</c:v>
                </c:pt>
                <c:pt idx="5">
                  <c:v>8下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5上</c:v>
                </c:pt>
                <c:pt idx="15">
                  <c:v>5中</c:v>
                </c:pt>
                <c:pt idx="16">
                  <c:v>5下</c:v>
                </c:pt>
                <c:pt idx="17">
                  <c:v>6上</c:v>
                </c:pt>
                <c:pt idx="18">
                  <c:v>6中</c:v>
                </c:pt>
                <c:pt idx="19">
                  <c:v>6下</c:v>
                </c:pt>
              </c:strCache>
            </c:strRef>
          </c:xVal>
          <c:yVal>
            <c:numRef>
              <c:f>'LONGLIU-BOUND'!$C$2:$C$21</c:f>
              <c:numCache>
                <c:formatCode>General</c:formatCode>
                <c:ptCount val="20"/>
                <c:pt idx="0">
                  <c:v>2594</c:v>
                </c:pt>
                <c:pt idx="1">
                  <c:v>2594</c:v>
                </c:pt>
                <c:pt idx="2">
                  <c:v>2594</c:v>
                </c:pt>
                <c:pt idx="3">
                  <c:v>2594</c:v>
                </c:pt>
                <c:pt idx="4">
                  <c:v>2594</c:v>
                </c:pt>
                <c:pt idx="5">
                  <c:v>2594</c:v>
                </c:pt>
                <c:pt idx="6">
                  <c:v>2594</c:v>
                </c:pt>
                <c:pt idx="7">
                  <c:v>2600</c:v>
                </c:pt>
                <c:pt idx="8">
                  <c:v>2600</c:v>
                </c:pt>
                <c:pt idx="9">
                  <c:v>2600</c:v>
                </c:pt>
                <c:pt idx="10">
                  <c:v>2600</c:v>
                </c:pt>
                <c:pt idx="11">
                  <c:v>2600</c:v>
                </c:pt>
                <c:pt idx="12">
                  <c:v>2600</c:v>
                </c:pt>
                <c:pt idx="13">
                  <c:v>2600</c:v>
                </c:pt>
                <c:pt idx="14">
                  <c:v>2600</c:v>
                </c:pt>
                <c:pt idx="15">
                  <c:v>2600</c:v>
                </c:pt>
                <c:pt idx="16">
                  <c:v>2600</c:v>
                </c:pt>
                <c:pt idx="17">
                  <c:v>2600</c:v>
                </c:pt>
                <c:pt idx="18">
                  <c:v>2600</c:v>
                </c:pt>
                <c:pt idx="19">
                  <c:v>2600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1-2641-A859-1369476CB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486360"/>
        <c:axId val="516489968"/>
      </c:scatterChart>
      <c:valAx>
        <c:axId val="516486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6489968"/>
        <c:crosses val="autoZero"/>
        <c:crossBetween val="midCat"/>
      </c:valAx>
      <c:valAx>
        <c:axId val="51648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6486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315191</xdr:colOff>
      <xdr:row>6</xdr:row>
      <xdr:rowOff>156359</xdr:rowOff>
    </xdr:from>
    <xdr:to>
      <xdr:col>27</xdr:col>
      <xdr:colOff>42224</xdr:colOff>
      <xdr:row>21</xdr:row>
      <xdr:rowOff>129146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509485</xdr:colOff>
      <xdr:row>29</xdr:row>
      <xdr:rowOff>22429</xdr:rowOff>
    </xdr:from>
    <xdr:to>
      <xdr:col>27</xdr:col>
      <xdr:colOff>447138</xdr:colOff>
      <xdr:row>44</xdr:row>
      <xdr:rowOff>71414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5"/>
  <sheetViews>
    <sheetView zoomScale="110" zoomScaleNormal="150" workbookViewId="0">
      <selection activeCell="C41" sqref="C41"/>
    </sheetView>
  </sheetViews>
  <sheetFormatPr baseColWidth="10" defaultColWidth="9" defaultRowHeight="15"/>
  <cols>
    <col min="1" max="1" width="8.83203125" style="31"/>
    <col min="2" max="2" width="13.5" customWidth="1"/>
    <col min="3" max="3" width="14" customWidth="1"/>
    <col min="4" max="4" width="11.33203125" style="5" customWidth="1"/>
    <col min="5" max="5" width="11.5" customWidth="1"/>
    <col min="7" max="7" width="13.5" customWidth="1"/>
    <col min="8" max="8" width="14" customWidth="1"/>
  </cols>
  <sheetData>
    <row r="1" spans="1:17" ht="32">
      <c r="A1" s="31" t="s">
        <v>0</v>
      </c>
      <c r="B1" t="s">
        <v>1</v>
      </c>
      <c r="C1" s="32" t="s">
        <v>2</v>
      </c>
      <c r="D1" s="33" t="s">
        <v>3</v>
      </c>
      <c r="E1" s="28" t="s">
        <v>4</v>
      </c>
      <c r="G1" t="s">
        <v>1</v>
      </c>
      <c r="H1" s="32" t="s">
        <v>2</v>
      </c>
    </row>
    <row r="2" spans="1:17">
      <c r="A2" s="34" t="s">
        <v>5</v>
      </c>
      <c r="B2">
        <v>2530</v>
      </c>
      <c r="C2">
        <v>2594</v>
      </c>
      <c r="D2" s="35">
        <v>1536</v>
      </c>
      <c r="E2" s="25">
        <v>1235.9399656548801</v>
      </c>
      <c r="G2">
        <v>2578</v>
      </c>
      <c r="H2">
        <v>2582</v>
      </c>
      <c r="J2">
        <v>2578.6576090566</v>
      </c>
      <c r="K2">
        <f>J2-3</f>
        <v>2575.6576090566</v>
      </c>
      <c r="L2">
        <f>J2+5</f>
        <v>2583.6576090566</v>
      </c>
      <c r="O2">
        <v>1710.0493250704201</v>
      </c>
      <c r="P2">
        <f>O2-5</f>
        <v>1705.0493250704201</v>
      </c>
      <c r="Q2">
        <v>1705.0493250704201</v>
      </c>
    </row>
    <row r="3" spans="1:17">
      <c r="A3" s="34" t="s">
        <v>6</v>
      </c>
      <c r="B3">
        <v>2530</v>
      </c>
      <c r="C3">
        <v>2594</v>
      </c>
      <c r="D3" s="35">
        <v>1536</v>
      </c>
      <c r="E3" s="25">
        <v>1235.9399656548801</v>
      </c>
      <c r="G3">
        <v>2578</v>
      </c>
      <c r="H3">
        <v>2585</v>
      </c>
      <c r="J3">
        <v>2577.2991725714301</v>
      </c>
      <c r="K3">
        <f t="shared" ref="K3:K66" si="0">J3-3</f>
        <v>2574.2991725714301</v>
      </c>
      <c r="L3">
        <f t="shared" ref="L3:L66" si="1">J3+5</f>
        <v>2582.2991725714301</v>
      </c>
      <c r="O3">
        <v>1710.0986501408499</v>
      </c>
      <c r="P3">
        <f t="shared" ref="P3:P66" si="2">O3-5</f>
        <v>1705.0986501408499</v>
      </c>
      <c r="Q3">
        <v>1705.0986501408499</v>
      </c>
    </row>
    <row r="4" spans="1:17">
      <c r="A4" s="34" t="s">
        <v>7</v>
      </c>
      <c r="B4">
        <v>2530</v>
      </c>
      <c r="C4">
        <v>2594</v>
      </c>
      <c r="D4" s="35">
        <v>1536</v>
      </c>
      <c r="E4" s="25">
        <v>1235.9399656548801</v>
      </c>
      <c r="G4">
        <v>2578</v>
      </c>
      <c r="H4">
        <v>2583</v>
      </c>
      <c r="J4">
        <v>2575.9269646451598</v>
      </c>
      <c r="K4">
        <f t="shared" si="0"/>
        <v>2572.9269646451598</v>
      </c>
      <c r="L4">
        <f t="shared" si="1"/>
        <v>2580.9269646451598</v>
      </c>
      <c r="O4">
        <v>1710.14797521127</v>
      </c>
      <c r="P4">
        <f t="shared" si="2"/>
        <v>1705.14797521127</v>
      </c>
      <c r="Q4">
        <v>1705.14797521127</v>
      </c>
    </row>
    <row r="5" spans="1:17">
      <c r="A5" s="34" t="s">
        <v>8</v>
      </c>
      <c r="B5">
        <v>2530</v>
      </c>
      <c r="C5">
        <v>2594</v>
      </c>
      <c r="D5" s="35">
        <v>1420</v>
      </c>
      <c r="E5" s="25">
        <v>993.92651188155605</v>
      </c>
      <c r="G5">
        <v>2576</v>
      </c>
      <c r="H5">
        <v>2580</v>
      </c>
      <c r="J5">
        <v>2577.2963931428599</v>
      </c>
      <c r="K5">
        <f t="shared" si="0"/>
        <v>2574.2963931428599</v>
      </c>
      <c r="L5">
        <f t="shared" si="1"/>
        <v>2582.2963931428599</v>
      </c>
      <c r="O5">
        <v>1714.7548398774099</v>
      </c>
      <c r="P5">
        <f t="shared" si="2"/>
        <v>1709.7548398774099</v>
      </c>
      <c r="Q5">
        <v>1709.7548398774099</v>
      </c>
    </row>
    <row r="6" spans="1:17">
      <c r="A6" s="34" t="s">
        <v>9</v>
      </c>
      <c r="B6">
        <v>2530</v>
      </c>
      <c r="C6">
        <v>2594</v>
      </c>
      <c r="D6" s="35">
        <v>1420</v>
      </c>
      <c r="E6" s="25">
        <v>993.92651188155605</v>
      </c>
      <c r="G6">
        <v>2576</v>
      </c>
      <c r="H6">
        <v>2582</v>
      </c>
      <c r="J6">
        <v>2577.0184502857101</v>
      </c>
      <c r="K6">
        <f t="shared" si="0"/>
        <v>2574.0184502857101</v>
      </c>
      <c r="L6">
        <f t="shared" si="1"/>
        <v>2582.0184502857101</v>
      </c>
      <c r="O6">
        <v>1718.31337652343</v>
      </c>
      <c r="P6">
        <f t="shared" si="2"/>
        <v>1713.31337652343</v>
      </c>
      <c r="Q6">
        <v>1713.31337652343</v>
      </c>
    </row>
    <row r="7" spans="1:17">
      <c r="A7" s="34" t="s">
        <v>10</v>
      </c>
      <c r="B7">
        <v>2530</v>
      </c>
      <c r="C7">
        <v>2594</v>
      </c>
      <c r="D7" s="35">
        <v>1420</v>
      </c>
      <c r="E7" s="25">
        <v>993.92651188155605</v>
      </c>
      <c r="G7">
        <v>2576</v>
      </c>
      <c r="H7">
        <v>2582</v>
      </c>
      <c r="J7">
        <v>2576.73884932907</v>
      </c>
      <c r="K7">
        <f t="shared" si="0"/>
        <v>2573.73884932907</v>
      </c>
      <c r="L7">
        <f t="shared" si="1"/>
        <v>2581.73884932907</v>
      </c>
      <c r="O7">
        <v>1720.2296248831999</v>
      </c>
      <c r="P7">
        <f t="shared" si="2"/>
        <v>1715.2296248831999</v>
      </c>
      <c r="Q7">
        <v>1715.2296248831999</v>
      </c>
    </row>
    <row r="8" spans="1:17">
      <c r="A8" s="31">
        <v>9</v>
      </c>
      <c r="B8">
        <v>2530</v>
      </c>
      <c r="C8">
        <v>2594</v>
      </c>
      <c r="D8" s="35">
        <v>1460</v>
      </c>
      <c r="E8" s="25">
        <v>650.43268617144702</v>
      </c>
      <c r="G8">
        <v>2578</v>
      </c>
      <c r="H8">
        <v>2583</v>
      </c>
      <c r="J8">
        <v>2576.1094819169298</v>
      </c>
      <c r="K8">
        <f t="shared" si="0"/>
        <v>2573.1094819169298</v>
      </c>
      <c r="L8">
        <f t="shared" si="1"/>
        <v>2581.1094819169298</v>
      </c>
      <c r="O8">
        <v>1718.5364018683299</v>
      </c>
      <c r="P8">
        <f t="shared" si="2"/>
        <v>1713.5364018683299</v>
      </c>
      <c r="Q8">
        <v>1713.5364018683299</v>
      </c>
    </row>
    <row r="9" spans="1:17">
      <c r="A9" s="31">
        <v>10</v>
      </c>
      <c r="B9">
        <v>2530</v>
      </c>
      <c r="C9">
        <v>2600</v>
      </c>
      <c r="D9" s="35">
        <v>1100</v>
      </c>
      <c r="E9" s="25">
        <v>761.62003315580603</v>
      </c>
      <c r="G9">
        <v>2581</v>
      </c>
      <c r="H9">
        <v>2585</v>
      </c>
      <c r="J9">
        <v>2575.8902492903198</v>
      </c>
      <c r="K9">
        <f t="shared" si="0"/>
        <v>2572.8902492903198</v>
      </c>
      <c r="L9">
        <f t="shared" si="1"/>
        <v>2580.8902492903198</v>
      </c>
      <c r="O9">
        <v>1727.4388012258801</v>
      </c>
      <c r="P9">
        <f t="shared" si="2"/>
        <v>1722.4388012258801</v>
      </c>
      <c r="Q9">
        <v>1722.4388012258801</v>
      </c>
    </row>
    <row r="10" spans="1:17">
      <c r="A10" s="31">
        <v>11</v>
      </c>
      <c r="B10">
        <v>2530</v>
      </c>
      <c r="C10">
        <v>2600</v>
      </c>
      <c r="D10" s="35">
        <v>568.29999999999995</v>
      </c>
      <c r="E10" s="30">
        <v>712.28028476863506</v>
      </c>
      <c r="G10">
        <v>2578</v>
      </c>
      <c r="H10">
        <v>2582</v>
      </c>
      <c r="J10">
        <v>2570.3965448999402</v>
      </c>
      <c r="K10">
        <f t="shared" si="0"/>
        <v>2567.3965448999402</v>
      </c>
      <c r="L10">
        <f t="shared" si="1"/>
        <v>2575.3965448999402</v>
      </c>
      <c r="O10">
        <v>1735</v>
      </c>
      <c r="P10">
        <f t="shared" si="2"/>
        <v>1730</v>
      </c>
      <c r="Q10">
        <v>1724.4388012258801</v>
      </c>
    </row>
    <row r="11" spans="1:17">
      <c r="A11" s="31">
        <v>12</v>
      </c>
      <c r="B11">
        <v>2530</v>
      </c>
      <c r="C11">
        <v>2600</v>
      </c>
      <c r="D11" s="35">
        <v>299</v>
      </c>
      <c r="E11" s="30">
        <v>413.11576104613403</v>
      </c>
      <c r="G11">
        <v>2578</v>
      </c>
      <c r="H11">
        <v>2582</v>
      </c>
      <c r="J11">
        <v>2568.1928796880502</v>
      </c>
      <c r="K11">
        <f t="shared" si="0"/>
        <v>2565.1928796880502</v>
      </c>
      <c r="L11">
        <f t="shared" si="1"/>
        <v>2573.1928796880502</v>
      </c>
      <c r="O11">
        <v>1735</v>
      </c>
      <c r="P11">
        <f t="shared" si="2"/>
        <v>1730</v>
      </c>
      <c r="Q11">
        <v>1726.4388012258801</v>
      </c>
    </row>
    <row r="12" spans="1:17">
      <c r="A12" s="31">
        <v>1</v>
      </c>
      <c r="B12">
        <v>2530</v>
      </c>
      <c r="C12">
        <v>2600</v>
      </c>
      <c r="D12" s="35">
        <v>216</v>
      </c>
      <c r="E12" s="30">
        <v>413.11576104613403</v>
      </c>
      <c r="G12">
        <v>2575</v>
      </c>
      <c r="H12">
        <v>2580</v>
      </c>
      <c r="J12">
        <v>2565.8042029992198</v>
      </c>
      <c r="K12">
        <f t="shared" si="0"/>
        <v>2562.8042029992198</v>
      </c>
      <c r="L12">
        <f t="shared" si="1"/>
        <v>2570.8042029992198</v>
      </c>
      <c r="O12">
        <v>1735</v>
      </c>
      <c r="P12">
        <f t="shared" si="2"/>
        <v>1730</v>
      </c>
      <c r="Q12">
        <v>1728.4388012258801</v>
      </c>
    </row>
    <row r="13" spans="1:17">
      <c r="A13" s="31">
        <v>2</v>
      </c>
      <c r="B13">
        <v>2530</v>
      </c>
      <c r="C13">
        <v>2600</v>
      </c>
      <c r="D13" s="35">
        <v>224</v>
      </c>
      <c r="E13" s="30">
        <v>413.47871994801801</v>
      </c>
      <c r="G13">
        <v>2575</v>
      </c>
      <c r="H13">
        <v>2579</v>
      </c>
      <c r="J13">
        <v>2563.9538473975499</v>
      </c>
      <c r="K13">
        <f t="shared" si="0"/>
        <v>2560.9538473975499</v>
      </c>
      <c r="L13">
        <f t="shared" si="1"/>
        <v>2568.9538473975499</v>
      </c>
      <c r="O13">
        <v>1735</v>
      </c>
      <c r="P13">
        <f t="shared" si="2"/>
        <v>1730</v>
      </c>
      <c r="Q13">
        <v>1730.4388012258801</v>
      </c>
    </row>
    <row r="14" spans="1:17">
      <c r="A14" s="31">
        <v>3</v>
      </c>
      <c r="B14">
        <v>2530</v>
      </c>
      <c r="C14">
        <v>2600</v>
      </c>
      <c r="D14" s="35">
        <v>265</v>
      </c>
      <c r="E14" s="30">
        <v>576.611341722362</v>
      </c>
      <c r="G14">
        <v>2575</v>
      </c>
      <c r="H14">
        <v>2578</v>
      </c>
      <c r="J14">
        <v>2562.4015753696699</v>
      </c>
      <c r="K14">
        <f t="shared" si="0"/>
        <v>2559.4015753696699</v>
      </c>
      <c r="L14">
        <f t="shared" si="1"/>
        <v>2567.4015753696699</v>
      </c>
      <c r="O14">
        <v>1735</v>
      </c>
      <c r="P14">
        <f t="shared" si="2"/>
        <v>1730</v>
      </c>
      <c r="Q14">
        <v>1730.4388012258801</v>
      </c>
    </row>
    <row r="15" spans="1:17">
      <c r="A15" s="31">
        <v>4</v>
      </c>
      <c r="B15">
        <v>2530</v>
      </c>
      <c r="C15">
        <v>2600</v>
      </c>
      <c r="D15" s="35">
        <v>310</v>
      </c>
      <c r="E15" s="25">
        <v>917.23159171075804</v>
      </c>
      <c r="G15">
        <v>2572</v>
      </c>
      <c r="H15">
        <v>2577</v>
      </c>
      <c r="J15">
        <v>2558.73433350702</v>
      </c>
      <c r="K15">
        <f t="shared" si="0"/>
        <v>2555.73433350702</v>
      </c>
      <c r="L15">
        <f t="shared" si="1"/>
        <v>2563.73433350702</v>
      </c>
      <c r="O15">
        <v>1722.66562392523</v>
      </c>
      <c r="P15">
        <f t="shared" si="2"/>
        <v>1717.66562392523</v>
      </c>
      <c r="Q15">
        <v>1717.66562392523</v>
      </c>
    </row>
    <row r="16" spans="1:17">
      <c r="A16" s="34" t="s">
        <v>11</v>
      </c>
      <c r="B16">
        <v>2530</v>
      </c>
      <c r="C16">
        <v>2600</v>
      </c>
      <c r="D16" s="35">
        <v>371</v>
      </c>
      <c r="E16" s="25">
        <v>1265.5549282639499</v>
      </c>
      <c r="G16">
        <v>2570</v>
      </c>
      <c r="H16">
        <v>2576</v>
      </c>
      <c r="J16">
        <v>2557.5745876923602</v>
      </c>
      <c r="K16">
        <f t="shared" si="0"/>
        <v>2554.5745876923602</v>
      </c>
      <c r="L16">
        <f t="shared" si="1"/>
        <v>2562.5745876923602</v>
      </c>
      <c r="O16">
        <v>1719.7120320245799</v>
      </c>
      <c r="P16">
        <f t="shared" si="2"/>
        <v>1714.7120320245799</v>
      </c>
      <c r="Q16">
        <v>1714.7120320245799</v>
      </c>
    </row>
    <row r="17" spans="1:17">
      <c r="A17" s="34" t="s">
        <v>12</v>
      </c>
      <c r="B17">
        <v>2530</v>
      </c>
      <c r="C17">
        <v>2600</v>
      </c>
      <c r="D17" s="35">
        <v>371</v>
      </c>
      <c r="E17" s="25">
        <v>1265.5549282639499</v>
      </c>
      <c r="G17">
        <v>2570</v>
      </c>
      <c r="H17">
        <v>2575</v>
      </c>
      <c r="J17">
        <v>2556.3988802854201</v>
      </c>
      <c r="K17">
        <f t="shared" si="0"/>
        <v>2553.3988802854201</v>
      </c>
      <c r="L17">
        <f t="shared" si="1"/>
        <v>2561.3988802854201</v>
      </c>
      <c r="O17">
        <v>1715.2330579331399</v>
      </c>
      <c r="P17">
        <f t="shared" si="2"/>
        <v>1710.2330579331399</v>
      </c>
      <c r="Q17">
        <v>1710.2330579331399</v>
      </c>
    </row>
    <row r="18" spans="1:17">
      <c r="A18" s="34" t="s">
        <v>13</v>
      </c>
      <c r="B18">
        <v>2530</v>
      </c>
      <c r="C18">
        <v>2600</v>
      </c>
      <c r="D18" s="35">
        <v>371</v>
      </c>
      <c r="E18" s="25">
        <v>1265.5549282639499</v>
      </c>
      <c r="G18">
        <v>2570</v>
      </c>
      <c r="H18">
        <v>2574</v>
      </c>
      <c r="J18">
        <v>2555.2066249419699</v>
      </c>
      <c r="K18">
        <f t="shared" si="0"/>
        <v>2552.2066249419699</v>
      </c>
      <c r="L18">
        <f t="shared" si="1"/>
        <v>2560.2066249419699</v>
      </c>
      <c r="O18">
        <v>1710.1378983295499</v>
      </c>
      <c r="P18">
        <f t="shared" si="2"/>
        <v>1705.1378983295499</v>
      </c>
      <c r="Q18">
        <v>1705.1378983295499</v>
      </c>
    </row>
    <row r="19" spans="1:17">
      <c r="A19" s="34" t="s">
        <v>14</v>
      </c>
      <c r="B19">
        <v>2530</v>
      </c>
      <c r="C19">
        <v>2600</v>
      </c>
      <c r="D19" s="35">
        <v>958</v>
      </c>
      <c r="E19" s="25">
        <v>1354.0663181391001</v>
      </c>
      <c r="G19">
        <v>2570</v>
      </c>
      <c r="H19">
        <v>2574</v>
      </c>
      <c r="J19">
        <v>2554.6230945073698</v>
      </c>
      <c r="K19">
        <f t="shared" si="0"/>
        <v>2551.6230945073698</v>
      </c>
      <c r="L19">
        <f t="shared" si="1"/>
        <v>2559.6230945073698</v>
      </c>
      <c r="O19">
        <v>1713.1704787358799</v>
      </c>
      <c r="P19">
        <f t="shared" si="2"/>
        <v>1708.1704787358799</v>
      </c>
      <c r="Q19">
        <v>1708.1704787358799</v>
      </c>
    </row>
    <row r="20" spans="1:17">
      <c r="A20" s="34" t="s">
        <v>15</v>
      </c>
      <c r="B20">
        <v>2530</v>
      </c>
      <c r="C20">
        <v>2600</v>
      </c>
      <c r="D20" s="35">
        <v>958</v>
      </c>
      <c r="E20" s="25">
        <v>1354.0663181391001</v>
      </c>
      <c r="G20">
        <v>2570</v>
      </c>
      <c r="H20">
        <v>2574</v>
      </c>
      <c r="J20">
        <v>2554.0370026065402</v>
      </c>
      <c r="K20">
        <f t="shared" si="0"/>
        <v>2551.0370026065402</v>
      </c>
      <c r="L20">
        <f t="shared" si="1"/>
        <v>2559.0370026065402</v>
      </c>
      <c r="O20">
        <v>1715.9024273975999</v>
      </c>
      <c r="P20">
        <f t="shared" si="2"/>
        <v>1710.9024273975999</v>
      </c>
      <c r="Q20">
        <v>1710.9024273975999</v>
      </c>
    </row>
    <row r="21" spans="1:17">
      <c r="A21" s="34" t="s">
        <v>16</v>
      </c>
      <c r="B21">
        <v>2530</v>
      </c>
      <c r="C21">
        <v>2600</v>
      </c>
      <c r="D21" s="35">
        <v>958</v>
      </c>
      <c r="E21" s="25">
        <v>1354.0663181391001</v>
      </c>
      <c r="G21">
        <v>2570</v>
      </c>
      <c r="H21">
        <v>2574</v>
      </c>
      <c r="J21">
        <v>2553.4463349615999</v>
      </c>
      <c r="K21">
        <f t="shared" si="0"/>
        <v>2550.4463349615999</v>
      </c>
      <c r="L21">
        <f t="shared" si="1"/>
        <v>2558.4463349615999</v>
      </c>
      <c r="O21">
        <v>1710.37219241406</v>
      </c>
      <c r="P21">
        <f t="shared" si="2"/>
        <v>1705.37219241406</v>
      </c>
      <c r="Q21">
        <v>1705.37219241406</v>
      </c>
    </row>
    <row r="22" spans="1:17">
      <c r="A22" s="34" t="s">
        <v>5</v>
      </c>
      <c r="B22">
        <v>1694</v>
      </c>
      <c r="C22">
        <v>1726</v>
      </c>
      <c r="D22" s="36"/>
      <c r="E22">
        <v>1710</v>
      </c>
      <c r="G22">
        <v>1705</v>
      </c>
      <c r="H22">
        <v>1715</v>
      </c>
      <c r="J22">
        <v>2552.9939323982499</v>
      </c>
      <c r="K22">
        <f t="shared" si="0"/>
        <v>2549.9939323982499</v>
      </c>
      <c r="L22">
        <f t="shared" si="1"/>
        <v>2557.9939323982499</v>
      </c>
      <c r="O22">
        <v>1713.5451273062999</v>
      </c>
      <c r="P22">
        <f t="shared" si="2"/>
        <v>1708.5451273062999</v>
      </c>
      <c r="Q22">
        <v>1708.5451273062999</v>
      </c>
    </row>
    <row r="23" spans="1:17">
      <c r="A23" s="34" t="s">
        <v>6</v>
      </c>
      <c r="B23">
        <v>1694</v>
      </c>
      <c r="C23">
        <v>1726</v>
      </c>
      <c r="D23" s="36"/>
      <c r="G23">
        <v>1705</v>
      </c>
      <c r="H23">
        <v>1715</v>
      </c>
      <c r="J23">
        <v>2552.5377791209398</v>
      </c>
      <c r="K23">
        <f t="shared" si="0"/>
        <v>2549.5377791209398</v>
      </c>
      <c r="L23">
        <f t="shared" si="1"/>
        <v>2557.5377791209398</v>
      </c>
      <c r="O23">
        <v>1717.4193538257</v>
      </c>
      <c r="P23">
        <f t="shared" si="2"/>
        <v>1712.4193538257</v>
      </c>
      <c r="Q23">
        <v>1712.4193538257</v>
      </c>
    </row>
    <row r="24" spans="1:17">
      <c r="A24" s="34" t="s">
        <v>7</v>
      </c>
      <c r="B24">
        <v>1694</v>
      </c>
      <c r="C24">
        <v>1726</v>
      </c>
      <c r="D24" s="37"/>
      <c r="G24">
        <v>1710</v>
      </c>
      <c r="H24">
        <v>1720</v>
      </c>
      <c r="J24">
        <v>2552.0816258436298</v>
      </c>
      <c r="K24">
        <f t="shared" si="0"/>
        <v>2549.0816258436298</v>
      </c>
      <c r="L24">
        <f t="shared" si="1"/>
        <v>2557.0816258436298</v>
      </c>
      <c r="O24">
        <v>1716.3269022368399</v>
      </c>
      <c r="P24">
        <f t="shared" si="2"/>
        <v>1711.3269022368399</v>
      </c>
      <c r="Q24">
        <v>1711.3269022368399</v>
      </c>
    </row>
    <row r="25" spans="1:17">
      <c r="A25" s="34" t="s">
        <v>8</v>
      </c>
      <c r="B25">
        <v>1694</v>
      </c>
      <c r="C25">
        <v>1726</v>
      </c>
      <c r="D25" s="37"/>
      <c r="G25">
        <v>1707</v>
      </c>
      <c r="H25">
        <v>1715</v>
      </c>
      <c r="J25">
        <v>2551.43068489695</v>
      </c>
      <c r="K25">
        <f t="shared" si="0"/>
        <v>2548.43068489695</v>
      </c>
      <c r="L25">
        <f t="shared" si="1"/>
        <v>2556.43068489695</v>
      </c>
      <c r="O25">
        <v>1711.04783353618</v>
      </c>
      <c r="P25">
        <f t="shared" si="2"/>
        <v>1706.04783353618</v>
      </c>
      <c r="Q25">
        <v>1706.04783353618</v>
      </c>
    </row>
    <row r="26" spans="1:17">
      <c r="A26" s="34" t="s">
        <v>9</v>
      </c>
      <c r="B26">
        <v>1694</v>
      </c>
      <c r="C26">
        <v>1726</v>
      </c>
      <c r="D26" s="37"/>
      <c r="G26">
        <v>1710</v>
      </c>
      <c r="H26">
        <v>1715</v>
      </c>
      <c r="J26">
        <v>2550.7768023638801</v>
      </c>
      <c r="K26">
        <f t="shared" si="0"/>
        <v>2547.7768023638801</v>
      </c>
      <c r="L26">
        <f t="shared" si="1"/>
        <v>2555.7768023638801</v>
      </c>
      <c r="O26">
        <v>1705.81106646325</v>
      </c>
      <c r="P26">
        <f t="shared" si="2"/>
        <v>1700.81106646325</v>
      </c>
      <c r="Q26">
        <v>1700.81106646325</v>
      </c>
    </row>
    <row r="27" spans="1:17">
      <c r="A27" s="34" t="s">
        <v>10</v>
      </c>
      <c r="B27">
        <v>1694</v>
      </c>
      <c r="C27">
        <v>1726</v>
      </c>
      <c r="D27" s="37"/>
      <c r="G27">
        <v>1708</v>
      </c>
      <c r="H27">
        <v>1713</v>
      </c>
      <c r="J27">
        <v>2550.1244195648401</v>
      </c>
      <c r="K27">
        <f t="shared" si="0"/>
        <v>2547.1244195648401</v>
      </c>
      <c r="L27">
        <f t="shared" si="1"/>
        <v>2555.1244195648401</v>
      </c>
      <c r="O27">
        <v>1709.3178691399401</v>
      </c>
      <c r="P27">
        <f t="shared" si="2"/>
        <v>1704.3178691399401</v>
      </c>
      <c r="Q27">
        <v>1704.3178691399401</v>
      </c>
    </row>
    <row r="28" spans="1:17">
      <c r="A28" s="31">
        <v>9</v>
      </c>
      <c r="B28">
        <v>1694</v>
      </c>
      <c r="C28">
        <v>1726</v>
      </c>
      <c r="D28" s="37"/>
      <c r="G28">
        <v>1715</v>
      </c>
      <c r="H28">
        <v>1723</v>
      </c>
      <c r="J28">
        <v>2555.8385349569999</v>
      </c>
      <c r="K28">
        <f t="shared" si="0"/>
        <v>2552.8385349569999</v>
      </c>
      <c r="L28">
        <f t="shared" si="1"/>
        <v>2560.8385349569999</v>
      </c>
      <c r="O28">
        <v>1702.9482704849299</v>
      </c>
      <c r="P28">
        <f t="shared" si="2"/>
        <v>1697.9482704849299</v>
      </c>
      <c r="Q28">
        <v>1697.9482704849299</v>
      </c>
    </row>
    <row r="29" spans="1:17">
      <c r="A29" s="31">
        <v>10</v>
      </c>
      <c r="B29">
        <v>1694</v>
      </c>
      <c r="C29">
        <v>1735</v>
      </c>
      <c r="D29" s="37"/>
      <c r="G29">
        <v>1706</v>
      </c>
      <c r="H29">
        <v>1710</v>
      </c>
      <c r="J29">
        <v>2566.0590438016602</v>
      </c>
      <c r="K29">
        <f t="shared" si="0"/>
        <v>2563.0590438016602</v>
      </c>
      <c r="L29">
        <f t="shared" si="1"/>
        <v>2571.0590438016602</v>
      </c>
      <c r="O29">
        <v>1712.7802273631601</v>
      </c>
      <c r="P29">
        <f t="shared" si="2"/>
        <v>1707.7802273631601</v>
      </c>
      <c r="Q29">
        <v>1707.7802273631601</v>
      </c>
    </row>
    <row r="30" spans="1:17">
      <c r="A30" s="31">
        <v>11</v>
      </c>
      <c r="B30">
        <v>1694</v>
      </c>
      <c r="C30">
        <v>1735</v>
      </c>
      <c r="D30" s="37"/>
      <c r="G30">
        <v>1710</v>
      </c>
      <c r="H30">
        <v>1716</v>
      </c>
      <c r="J30">
        <v>2564.0693553913402</v>
      </c>
      <c r="K30">
        <f t="shared" si="0"/>
        <v>2561.0693553913402</v>
      </c>
      <c r="L30">
        <f t="shared" si="1"/>
        <v>2569.0693553913402</v>
      </c>
      <c r="O30">
        <v>1720.5445594007399</v>
      </c>
      <c r="P30">
        <f t="shared" si="2"/>
        <v>1715.5445594007399</v>
      </c>
      <c r="Q30">
        <v>1715.5445594007399</v>
      </c>
    </row>
    <row r="31" spans="1:17">
      <c r="A31" s="31">
        <v>12</v>
      </c>
      <c r="B31">
        <v>1694</v>
      </c>
      <c r="C31">
        <v>1735</v>
      </c>
      <c r="D31" s="37"/>
      <c r="G31">
        <v>1715</v>
      </c>
      <c r="H31">
        <v>1722</v>
      </c>
      <c r="J31">
        <v>2559.3984782060302</v>
      </c>
      <c r="K31">
        <f t="shared" si="0"/>
        <v>2556.3984782060302</v>
      </c>
      <c r="L31">
        <f t="shared" si="1"/>
        <v>2564.3984782060302</v>
      </c>
      <c r="O31">
        <v>1728.37629819322</v>
      </c>
      <c r="P31">
        <f t="shared" si="2"/>
        <v>1723.37629819322</v>
      </c>
      <c r="Q31">
        <v>1723.37629819322</v>
      </c>
    </row>
    <row r="32" spans="1:17">
      <c r="A32" s="31">
        <v>1</v>
      </c>
      <c r="B32">
        <v>1694</v>
      </c>
      <c r="C32">
        <v>1735</v>
      </c>
      <c r="D32" s="37"/>
      <c r="G32">
        <v>1720</v>
      </c>
      <c r="H32">
        <v>1725</v>
      </c>
      <c r="J32">
        <v>2554.1333740359601</v>
      </c>
      <c r="K32">
        <f t="shared" si="0"/>
        <v>2551.1333740359601</v>
      </c>
      <c r="L32">
        <f t="shared" si="1"/>
        <v>2559.1333740359601</v>
      </c>
      <c r="O32">
        <v>1735</v>
      </c>
      <c r="P32">
        <f t="shared" si="2"/>
        <v>1730</v>
      </c>
      <c r="Q32">
        <v>1725</v>
      </c>
    </row>
    <row r="33" spans="1:17">
      <c r="A33" s="31">
        <v>2</v>
      </c>
      <c r="B33">
        <v>1694</v>
      </c>
      <c r="C33">
        <v>1735</v>
      </c>
      <c r="D33" s="37"/>
      <c r="G33">
        <v>1724</v>
      </c>
      <c r="H33">
        <v>1730</v>
      </c>
      <c r="J33">
        <v>2552.6983073811002</v>
      </c>
      <c r="K33">
        <f t="shared" si="0"/>
        <v>2549.6983073811002</v>
      </c>
      <c r="L33">
        <f t="shared" si="1"/>
        <v>2557.6983073811002</v>
      </c>
      <c r="O33">
        <v>1735</v>
      </c>
      <c r="P33">
        <f t="shared" si="2"/>
        <v>1730</v>
      </c>
      <c r="Q33">
        <v>1728</v>
      </c>
    </row>
    <row r="34" spans="1:17">
      <c r="A34" s="31">
        <v>3</v>
      </c>
      <c r="B34">
        <v>1694</v>
      </c>
      <c r="C34">
        <v>1735</v>
      </c>
      <c r="D34" s="37"/>
      <c r="G34">
        <v>1726</v>
      </c>
      <c r="H34">
        <v>1735</v>
      </c>
      <c r="J34">
        <v>2551.7013053476699</v>
      </c>
      <c r="K34">
        <f t="shared" si="0"/>
        <v>2548.7013053476699</v>
      </c>
      <c r="L34">
        <f t="shared" si="1"/>
        <v>2556.7013053476699</v>
      </c>
      <c r="O34">
        <v>1735</v>
      </c>
      <c r="P34">
        <f t="shared" si="2"/>
        <v>1730</v>
      </c>
      <c r="Q34">
        <v>1730</v>
      </c>
    </row>
    <row r="35" spans="1:17">
      <c r="A35" s="31">
        <v>4</v>
      </c>
      <c r="B35">
        <v>1694</v>
      </c>
      <c r="C35">
        <v>1735</v>
      </c>
      <c r="D35" s="37"/>
      <c r="G35">
        <v>1723</v>
      </c>
      <c r="H35">
        <v>1733</v>
      </c>
      <c r="J35">
        <v>2547.6306881668302</v>
      </c>
      <c r="K35">
        <f t="shared" si="0"/>
        <v>2544.6306881668302</v>
      </c>
      <c r="L35">
        <f t="shared" si="1"/>
        <v>2552.6306881668302</v>
      </c>
      <c r="O35">
        <v>1725.1143931623899</v>
      </c>
      <c r="P35">
        <f t="shared" si="2"/>
        <v>1720.1143931623899</v>
      </c>
      <c r="Q35">
        <v>1720.1143931623899</v>
      </c>
    </row>
    <row r="36" spans="1:17">
      <c r="A36" s="34" t="s">
        <v>11</v>
      </c>
      <c r="B36">
        <v>1694</v>
      </c>
      <c r="C36">
        <v>1735</v>
      </c>
      <c r="D36" s="37"/>
      <c r="G36">
        <v>1718</v>
      </c>
      <c r="H36">
        <v>1730</v>
      </c>
      <c r="J36">
        <v>2546.9485327544699</v>
      </c>
      <c r="K36">
        <f t="shared" si="0"/>
        <v>2543.9485327544699</v>
      </c>
      <c r="L36">
        <f t="shared" si="1"/>
        <v>2551.9485327544699</v>
      </c>
      <c r="O36">
        <v>1722.8047252336401</v>
      </c>
      <c r="P36">
        <f t="shared" si="2"/>
        <v>1717.8047252336401</v>
      </c>
      <c r="Q36">
        <v>1717.8047252336401</v>
      </c>
    </row>
    <row r="37" spans="1:17">
      <c r="A37" s="34" t="s">
        <v>12</v>
      </c>
      <c r="B37">
        <v>1694</v>
      </c>
      <c r="C37">
        <v>1735</v>
      </c>
      <c r="D37" s="37"/>
      <c r="G37">
        <v>1715</v>
      </c>
      <c r="H37">
        <v>1726</v>
      </c>
      <c r="J37">
        <v>2546.24565050095</v>
      </c>
      <c r="K37">
        <f t="shared" si="0"/>
        <v>2543.24565050095</v>
      </c>
      <c r="L37">
        <f t="shared" si="1"/>
        <v>2551.24565050095</v>
      </c>
      <c r="O37">
        <v>1726.7478857142901</v>
      </c>
      <c r="P37">
        <f t="shared" si="2"/>
        <v>1721.7478857142901</v>
      </c>
      <c r="Q37">
        <v>1721.7478857142901</v>
      </c>
    </row>
    <row r="38" spans="1:17">
      <c r="A38" s="34" t="s">
        <v>13</v>
      </c>
      <c r="B38">
        <v>1694</v>
      </c>
      <c r="C38">
        <v>1735</v>
      </c>
      <c r="D38" s="37"/>
      <c r="G38">
        <v>1713</v>
      </c>
      <c r="H38">
        <v>1723</v>
      </c>
      <c r="J38">
        <v>2545.5362363652498</v>
      </c>
      <c r="K38">
        <f t="shared" si="0"/>
        <v>2542.5362363652498</v>
      </c>
      <c r="L38">
        <f t="shared" si="1"/>
        <v>2550.5362363652498</v>
      </c>
      <c r="O38">
        <v>1724.5414035087699</v>
      </c>
      <c r="P38">
        <f t="shared" si="2"/>
        <v>1719.5414035087699</v>
      </c>
      <c r="Q38">
        <v>1719.5414035087699</v>
      </c>
    </row>
    <row r="39" spans="1:17">
      <c r="A39" s="34" t="s">
        <v>14</v>
      </c>
      <c r="B39">
        <v>1694</v>
      </c>
      <c r="C39">
        <v>1735</v>
      </c>
      <c r="D39" s="37"/>
      <c r="G39">
        <v>1710</v>
      </c>
      <c r="H39">
        <v>1720</v>
      </c>
      <c r="J39">
        <v>2546.1182274023599</v>
      </c>
      <c r="K39">
        <f t="shared" si="0"/>
        <v>2543.1182274023599</v>
      </c>
      <c r="L39">
        <f t="shared" si="1"/>
        <v>2551.1182274023599</v>
      </c>
      <c r="O39">
        <v>1722.3465091588801</v>
      </c>
      <c r="P39">
        <f t="shared" si="2"/>
        <v>1717.3465091588801</v>
      </c>
      <c r="Q39">
        <v>1717.3465091588801</v>
      </c>
    </row>
    <row r="40" spans="1:17">
      <c r="A40" s="34" t="s">
        <v>15</v>
      </c>
      <c r="B40">
        <v>1694</v>
      </c>
      <c r="C40">
        <v>1735</v>
      </c>
      <c r="D40" s="37"/>
      <c r="G40">
        <v>1708</v>
      </c>
      <c r="H40">
        <v>1716</v>
      </c>
      <c r="J40">
        <v>2546.6936865572902</v>
      </c>
      <c r="K40">
        <f t="shared" si="0"/>
        <v>2543.6936865572902</v>
      </c>
      <c r="L40">
        <f t="shared" si="1"/>
        <v>2551.6936865572902</v>
      </c>
      <c r="O40">
        <v>1720.0042867326699</v>
      </c>
      <c r="P40">
        <f t="shared" si="2"/>
        <v>1715.0042867326699</v>
      </c>
      <c r="Q40">
        <v>1715.0042867326699</v>
      </c>
    </row>
    <row r="41" spans="1:17">
      <c r="A41" s="34" t="s">
        <v>16</v>
      </c>
      <c r="B41">
        <v>1694</v>
      </c>
      <c r="C41">
        <v>1735</v>
      </c>
      <c r="D41" s="37"/>
      <c r="G41">
        <v>1705</v>
      </c>
      <c r="H41">
        <v>1714</v>
      </c>
      <c r="J41">
        <v>2547.26058198501</v>
      </c>
      <c r="K41">
        <f t="shared" si="0"/>
        <v>2544.26058198501</v>
      </c>
      <c r="L41">
        <f t="shared" si="1"/>
        <v>2552.26058198501</v>
      </c>
      <c r="O41">
        <v>1717.4421048888901</v>
      </c>
      <c r="P41">
        <f t="shared" si="2"/>
        <v>1712.4421048888901</v>
      </c>
      <c r="Q41">
        <v>1712.4421048888901</v>
      </c>
    </row>
    <row r="42" spans="1:17">
      <c r="D42" s="37"/>
      <c r="J42">
        <v>2551.6230673902201</v>
      </c>
      <c r="K42">
        <f t="shared" si="0"/>
        <v>2548.6230673902201</v>
      </c>
      <c r="L42">
        <f t="shared" si="1"/>
        <v>2556.6230673902201</v>
      </c>
      <c r="O42">
        <v>1714.0137876543199</v>
      </c>
      <c r="P42">
        <f t="shared" si="2"/>
        <v>1709.0137876543199</v>
      </c>
      <c r="Q42">
        <v>1709.0137876543199</v>
      </c>
    </row>
    <row r="43" spans="1:17">
      <c r="D43" s="37"/>
      <c r="J43">
        <v>2555.7735250477599</v>
      </c>
      <c r="K43">
        <f t="shared" si="0"/>
        <v>2552.7735250477599</v>
      </c>
      <c r="L43">
        <f t="shared" si="1"/>
        <v>2560.7735250477599</v>
      </c>
      <c r="O43">
        <v>1710.0907628169</v>
      </c>
      <c r="P43">
        <f t="shared" si="2"/>
        <v>1705.0907628169</v>
      </c>
      <c r="Q43">
        <v>1705.0907628169</v>
      </c>
    </row>
    <row r="44" spans="1:17">
      <c r="D44" s="37"/>
      <c r="J44">
        <v>2559.7406501433702</v>
      </c>
      <c r="K44">
        <f t="shared" si="0"/>
        <v>2556.7406501433702</v>
      </c>
      <c r="L44">
        <f t="shared" si="1"/>
        <v>2564.7406501433702</v>
      </c>
      <c r="O44">
        <v>1714.9105108128199</v>
      </c>
      <c r="P44">
        <f t="shared" si="2"/>
        <v>1709.9105108128199</v>
      </c>
      <c r="Q44">
        <v>1709.9105108128199</v>
      </c>
    </row>
    <row r="45" spans="1:17">
      <c r="D45" s="37"/>
      <c r="J45">
        <v>2560.7211816796198</v>
      </c>
      <c r="K45">
        <f t="shared" si="0"/>
        <v>2557.7211816796198</v>
      </c>
      <c r="L45">
        <f t="shared" si="1"/>
        <v>2565.7211816796198</v>
      </c>
      <c r="O45">
        <v>1714.80341030964</v>
      </c>
      <c r="P45">
        <f t="shared" si="2"/>
        <v>1709.80341030964</v>
      </c>
      <c r="Q45">
        <v>1709.80341030964</v>
      </c>
    </row>
    <row r="46" spans="1:17">
      <c r="D46" s="37"/>
      <c r="J46">
        <v>2561.6871516541801</v>
      </c>
      <c r="K46">
        <f t="shared" si="0"/>
        <v>2558.6871516541801</v>
      </c>
      <c r="L46">
        <f t="shared" si="1"/>
        <v>2566.6871516541801</v>
      </c>
      <c r="O46">
        <v>1708.93286901638</v>
      </c>
      <c r="P46">
        <f t="shared" si="2"/>
        <v>1703.93286901638</v>
      </c>
      <c r="Q46">
        <v>1703.93286901638</v>
      </c>
    </row>
    <row r="47" spans="1:17">
      <c r="D47" s="37"/>
      <c r="J47">
        <v>2562.8356528619602</v>
      </c>
      <c r="K47">
        <f t="shared" si="0"/>
        <v>2559.8356528619602</v>
      </c>
      <c r="L47">
        <f t="shared" si="1"/>
        <v>2567.8356528619602</v>
      </c>
      <c r="O47">
        <v>1705.02855017309</v>
      </c>
      <c r="P47">
        <f t="shared" si="2"/>
        <v>1700.02855017309</v>
      </c>
      <c r="Q47">
        <v>1700.02855017309</v>
      </c>
    </row>
    <row r="48" spans="1:17">
      <c r="D48" s="37"/>
      <c r="J48">
        <v>2563.4417409482098</v>
      </c>
      <c r="K48">
        <f t="shared" si="0"/>
        <v>2560.4417409482098</v>
      </c>
      <c r="L48">
        <f t="shared" si="1"/>
        <v>2568.4417409482098</v>
      </c>
      <c r="O48">
        <v>1706.6178848290299</v>
      </c>
      <c r="P48">
        <f t="shared" si="2"/>
        <v>1701.6178848290299</v>
      </c>
      <c r="Q48">
        <v>1701.6178848290299</v>
      </c>
    </row>
    <row r="49" spans="4:17">
      <c r="D49" s="37"/>
      <c r="J49">
        <v>2557.32915520598</v>
      </c>
      <c r="K49">
        <f t="shared" si="0"/>
        <v>2554.32915520598</v>
      </c>
      <c r="L49">
        <f t="shared" si="1"/>
        <v>2562.32915520598</v>
      </c>
      <c r="O49">
        <v>1724.5398751093701</v>
      </c>
      <c r="P49">
        <f t="shared" si="2"/>
        <v>1719.5398751093701</v>
      </c>
      <c r="Q49">
        <v>1719.5398751093701</v>
      </c>
    </row>
    <row r="50" spans="4:17">
      <c r="D50" s="37"/>
      <c r="J50">
        <v>2552.5658757844599</v>
      </c>
      <c r="K50">
        <f t="shared" si="0"/>
        <v>2549.5658757844599</v>
      </c>
      <c r="L50">
        <f t="shared" si="1"/>
        <v>2557.5658757844599</v>
      </c>
      <c r="O50">
        <v>1727.2173411582801</v>
      </c>
      <c r="P50">
        <f t="shared" si="2"/>
        <v>1722.2173411582801</v>
      </c>
      <c r="Q50">
        <v>1722.2173411582801</v>
      </c>
    </row>
    <row r="51" spans="4:17">
      <c r="D51" s="37"/>
      <c r="J51">
        <v>2545.76137007953</v>
      </c>
      <c r="K51">
        <f t="shared" si="0"/>
        <v>2542.76137007953</v>
      </c>
      <c r="L51">
        <f t="shared" si="1"/>
        <v>2550.76137007953</v>
      </c>
      <c r="O51">
        <v>1734.35706749976</v>
      </c>
      <c r="P51">
        <f t="shared" si="2"/>
        <v>1729.35706749976</v>
      </c>
      <c r="Q51">
        <v>1729.35706749976</v>
      </c>
    </row>
    <row r="52" spans="4:17">
      <c r="D52" s="37"/>
      <c r="J52">
        <v>2542.3648556057101</v>
      </c>
      <c r="K52">
        <f t="shared" si="0"/>
        <v>2539.3648556057101</v>
      </c>
      <c r="L52">
        <f t="shared" si="1"/>
        <v>2547.3648556057101</v>
      </c>
      <c r="O52">
        <v>1735</v>
      </c>
      <c r="P52">
        <f t="shared" si="2"/>
        <v>1730</v>
      </c>
      <c r="Q52">
        <v>1730</v>
      </c>
    </row>
    <row r="53" spans="4:17">
      <c r="D53" s="37"/>
      <c r="J53">
        <v>2540.1647534612398</v>
      </c>
      <c r="K53">
        <f t="shared" si="0"/>
        <v>2537.1647534612398</v>
      </c>
      <c r="L53">
        <f t="shared" si="1"/>
        <v>2545.1647534612398</v>
      </c>
      <c r="O53">
        <v>1734.79949923664</v>
      </c>
      <c r="P53">
        <f t="shared" si="2"/>
        <v>1729.79949923664</v>
      </c>
      <c r="Q53">
        <v>1729.79949923664</v>
      </c>
    </row>
    <row r="54" spans="4:17">
      <c r="D54" s="37"/>
      <c r="J54">
        <v>2538.6116560762298</v>
      </c>
      <c r="K54">
        <f t="shared" si="0"/>
        <v>2535.6116560762298</v>
      </c>
      <c r="L54">
        <f t="shared" si="1"/>
        <v>2543.6116560762298</v>
      </c>
      <c r="O54">
        <v>1733.83832969697</v>
      </c>
      <c r="P54">
        <f t="shared" si="2"/>
        <v>1728.83832969697</v>
      </c>
      <c r="Q54">
        <v>1728.83832969697</v>
      </c>
    </row>
    <row r="55" spans="4:17">
      <c r="D55" s="37"/>
      <c r="J55">
        <v>2537.8564391752302</v>
      </c>
      <c r="K55">
        <f t="shared" si="0"/>
        <v>2534.8564391752302</v>
      </c>
      <c r="L55">
        <f t="shared" si="1"/>
        <v>2542.8564391752302</v>
      </c>
      <c r="O55">
        <v>1721.4720155029499</v>
      </c>
      <c r="P55">
        <f t="shared" si="2"/>
        <v>1716.4720155029499</v>
      </c>
      <c r="Q55">
        <v>1716.4720155029499</v>
      </c>
    </row>
    <row r="56" spans="4:17">
      <c r="D56" s="4"/>
      <c r="J56">
        <v>2538.7920395938199</v>
      </c>
      <c r="K56">
        <f t="shared" si="0"/>
        <v>2535.7920395938199</v>
      </c>
      <c r="L56">
        <f t="shared" si="1"/>
        <v>2543.7920395938199</v>
      </c>
      <c r="O56">
        <v>1721.34567030114</v>
      </c>
      <c r="P56">
        <f t="shared" si="2"/>
        <v>1716.34567030114</v>
      </c>
      <c r="Q56">
        <v>1716.34567030114</v>
      </c>
    </row>
    <row r="57" spans="4:17">
      <c r="D57" s="4"/>
      <c r="J57">
        <v>2539.7139906889602</v>
      </c>
      <c r="K57">
        <f t="shared" si="0"/>
        <v>2536.7139906889602</v>
      </c>
      <c r="L57">
        <f t="shared" si="1"/>
        <v>2544.7139906889602</v>
      </c>
      <c r="O57">
        <v>1719.59622778625</v>
      </c>
      <c r="P57">
        <f t="shared" si="2"/>
        <v>1714.59622778625</v>
      </c>
      <c r="Q57">
        <v>1714.59622778625</v>
      </c>
    </row>
    <row r="58" spans="4:17">
      <c r="D58" s="4"/>
      <c r="J58">
        <v>2540.6328532632201</v>
      </c>
      <c r="K58">
        <f t="shared" si="0"/>
        <v>2537.6328532632201</v>
      </c>
      <c r="L58">
        <f t="shared" si="1"/>
        <v>2545.6328532632201</v>
      </c>
      <c r="O58">
        <v>1719.41570819862</v>
      </c>
      <c r="P58">
        <f t="shared" si="2"/>
        <v>1714.41570819862</v>
      </c>
      <c r="Q58">
        <v>1714.41570819862</v>
      </c>
    </row>
    <row r="59" spans="4:17">
      <c r="D59" s="4"/>
      <c r="J59">
        <v>2543.5891070491298</v>
      </c>
      <c r="K59">
        <f t="shared" si="0"/>
        <v>2540.5891070491298</v>
      </c>
      <c r="L59">
        <f t="shared" si="1"/>
        <v>2548.5891070491298</v>
      </c>
      <c r="O59">
        <v>1719.07272098213</v>
      </c>
      <c r="P59">
        <f t="shared" si="2"/>
        <v>1714.07272098213</v>
      </c>
      <c r="Q59">
        <v>1714.07272098213</v>
      </c>
    </row>
    <row r="60" spans="4:17">
      <c r="D60" s="4"/>
      <c r="J60">
        <v>2546.47912656888</v>
      </c>
      <c r="K60">
        <f t="shared" si="0"/>
        <v>2543.47912656888</v>
      </c>
      <c r="L60">
        <f t="shared" si="1"/>
        <v>2551.47912656888</v>
      </c>
      <c r="O60">
        <v>1713.66903543168</v>
      </c>
      <c r="P60">
        <f t="shared" si="2"/>
        <v>1708.66903543168</v>
      </c>
      <c r="Q60">
        <v>1708.66903543168</v>
      </c>
    </row>
    <row r="61" spans="4:17">
      <c r="D61" s="4"/>
      <c r="J61">
        <v>2547.0528489053199</v>
      </c>
      <c r="K61">
        <f t="shared" si="0"/>
        <v>2544.0528489053199</v>
      </c>
      <c r="L61">
        <f t="shared" si="1"/>
        <v>2552.0528489053199</v>
      </c>
      <c r="O61">
        <v>1712.6563647744999</v>
      </c>
      <c r="P61">
        <f t="shared" si="2"/>
        <v>1707.6563647744999</v>
      </c>
      <c r="Q61">
        <v>1707.6563647744999</v>
      </c>
    </row>
    <row r="62" spans="4:17">
      <c r="D62" s="4"/>
      <c r="J62">
        <v>2546.91072093507</v>
      </c>
      <c r="K62">
        <f t="shared" si="0"/>
        <v>2543.91072093507</v>
      </c>
      <c r="L62">
        <f t="shared" si="1"/>
        <v>2551.91072093507</v>
      </c>
      <c r="O62">
        <v>1709.3669850460799</v>
      </c>
      <c r="P62">
        <f t="shared" si="2"/>
        <v>1704.3669850460799</v>
      </c>
      <c r="Q62">
        <v>1704.3669850460799</v>
      </c>
    </row>
    <row r="63" spans="4:17">
      <c r="D63" s="4"/>
      <c r="J63">
        <v>2546.7668561463402</v>
      </c>
      <c r="K63">
        <f t="shared" si="0"/>
        <v>2543.7668561463402</v>
      </c>
      <c r="L63">
        <f t="shared" si="1"/>
        <v>2551.7668561463402</v>
      </c>
      <c r="O63">
        <v>1714.9238696060199</v>
      </c>
      <c r="P63">
        <f t="shared" si="2"/>
        <v>1709.9238696060199</v>
      </c>
      <c r="Q63">
        <v>1709.9238696060199</v>
      </c>
    </row>
    <row r="64" spans="4:17">
      <c r="D64" s="4"/>
      <c r="J64">
        <v>2546.6229913576099</v>
      </c>
      <c r="K64">
        <f t="shared" si="0"/>
        <v>2543.6229913576099</v>
      </c>
      <c r="L64">
        <f t="shared" si="1"/>
        <v>2551.6229913576099</v>
      </c>
      <c r="O64">
        <v>1711.9054733067701</v>
      </c>
      <c r="P64">
        <f t="shared" si="2"/>
        <v>1706.9054733067701</v>
      </c>
      <c r="Q64">
        <v>1706.9054733067701</v>
      </c>
    </row>
    <row r="65" spans="4:17">
      <c r="D65" s="4"/>
      <c r="J65">
        <v>2546.61477051254</v>
      </c>
      <c r="K65">
        <f t="shared" si="0"/>
        <v>2543.61477051254</v>
      </c>
      <c r="L65">
        <f t="shared" si="1"/>
        <v>2551.61477051254</v>
      </c>
      <c r="O65">
        <v>1714.00353635285</v>
      </c>
      <c r="P65">
        <f t="shared" si="2"/>
        <v>1709.00353635285</v>
      </c>
      <c r="Q65">
        <v>1709.00353635285</v>
      </c>
    </row>
    <row r="66" spans="4:17">
      <c r="D66" s="4"/>
      <c r="J66">
        <v>2546.6065496674701</v>
      </c>
      <c r="K66">
        <f t="shared" si="0"/>
        <v>2543.6065496674701</v>
      </c>
      <c r="L66">
        <f t="shared" si="1"/>
        <v>2551.6065496674701</v>
      </c>
      <c r="O66">
        <v>1714.5439807973</v>
      </c>
      <c r="P66">
        <f t="shared" si="2"/>
        <v>1709.5439807973</v>
      </c>
      <c r="Q66">
        <v>1709.5439807973</v>
      </c>
    </row>
    <row r="67" spans="4:17">
      <c r="D67" s="4"/>
      <c r="J67">
        <v>2546.8875971360599</v>
      </c>
      <c r="K67">
        <f t="shared" ref="K67:K130" si="3">J67-3</f>
        <v>2543.8875971360599</v>
      </c>
      <c r="L67">
        <f t="shared" ref="L67:L130" si="4">J67+5</f>
        <v>2551.8875971360599</v>
      </c>
      <c r="O67">
        <v>1714.92192071006</v>
      </c>
      <c r="P67">
        <f t="shared" ref="P67:P130" si="5">O67-5</f>
        <v>1709.92192071006</v>
      </c>
      <c r="Q67">
        <v>1709.92192071006</v>
      </c>
    </row>
    <row r="68" spans="4:17">
      <c r="D68" s="4"/>
      <c r="J68">
        <v>2548.5023607030498</v>
      </c>
      <c r="K68">
        <f t="shared" si="3"/>
        <v>2545.5023607030498</v>
      </c>
      <c r="L68">
        <f t="shared" si="4"/>
        <v>2553.5023607030498</v>
      </c>
      <c r="O68">
        <v>1711.1526829070899</v>
      </c>
      <c r="P68">
        <f t="shared" si="5"/>
        <v>1706.1526829070899</v>
      </c>
      <c r="Q68">
        <v>1706.1526829070899</v>
      </c>
    </row>
    <row r="69" spans="4:17">
      <c r="D69" s="4"/>
      <c r="J69">
        <v>2551.2315130135598</v>
      </c>
      <c r="K69">
        <f t="shared" si="3"/>
        <v>2548.2315130135598</v>
      </c>
      <c r="L69">
        <f t="shared" si="4"/>
        <v>2556.2315130135598</v>
      </c>
      <c r="O69">
        <v>1724.2081271992199</v>
      </c>
      <c r="P69">
        <f t="shared" si="5"/>
        <v>1719.2081271992199</v>
      </c>
      <c r="Q69">
        <v>1719.2081271992199</v>
      </c>
    </row>
    <row r="70" spans="4:17">
      <c r="D70" s="4"/>
      <c r="J70">
        <v>2547.9048936281201</v>
      </c>
      <c r="K70">
        <f t="shared" si="3"/>
        <v>2544.9048936281201</v>
      </c>
      <c r="L70">
        <f t="shared" si="4"/>
        <v>2552.9048936281201</v>
      </c>
      <c r="O70">
        <v>1728.61321371541</v>
      </c>
      <c r="P70">
        <f t="shared" si="5"/>
        <v>1723.61321371541</v>
      </c>
      <c r="Q70">
        <v>1723.61321371541</v>
      </c>
    </row>
    <row r="71" spans="4:17">
      <c r="D71" s="4"/>
      <c r="J71">
        <v>2541.8841358566301</v>
      </c>
      <c r="K71">
        <f t="shared" si="3"/>
        <v>2538.8841358566301</v>
      </c>
      <c r="L71">
        <f t="shared" si="4"/>
        <v>2546.8841358566301</v>
      </c>
      <c r="O71">
        <v>1735</v>
      </c>
      <c r="P71">
        <f t="shared" si="5"/>
        <v>1730</v>
      </c>
      <c r="Q71">
        <v>1730</v>
      </c>
    </row>
    <row r="72" spans="4:17">
      <c r="D72" s="4"/>
      <c r="J72">
        <v>2539.49600266781</v>
      </c>
      <c r="K72">
        <f t="shared" si="3"/>
        <v>2536.49600266781</v>
      </c>
      <c r="L72">
        <f t="shared" si="4"/>
        <v>2544.49600266781</v>
      </c>
      <c r="O72">
        <v>1734.13784671756</v>
      </c>
      <c r="P72">
        <f t="shared" si="5"/>
        <v>1729.13784671756</v>
      </c>
      <c r="Q72">
        <v>1729.13784671756</v>
      </c>
    </row>
    <row r="73" spans="4:17">
      <c r="D73" s="4"/>
      <c r="J73">
        <v>2537.17715148152</v>
      </c>
      <c r="K73">
        <f t="shared" si="3"/>
        <v>2534.17715148152</v>
      </c>
      <c r="L73">
        <f t="shared" si="4"/>
        <v>2542.17715148152</v>
      </c>
      <c r="O73">
        <v>1734.33834748092</v>
      </c>
      <c r="P73">
        <f t="shared" si="5"/>
        <v>1729.33834748092</v>
      </c>
      <c r="Q73">
        <v>1729.33834748092</v>
      </c>
    </row>
    <row r="74" spans="4:17">
      <c r="D74" s="4"/>
      <c r="J74">
        <v>2535.4899160579598</v>
      </c>
      <c r="K74">
        <f t="shared" si="3"/>
        <v>2532.4899160579598</v>
      </c>
      <c r="L74">
        <f t="shared" si="4"/>
        <v>2540.4899160579598</v>
      </c>
      <c r="O74">
        <v>1733.7786351515199</v>
      </c>
      <c r="P74">
        <f t="shared" si="5"/>
        <v>1728.7786351515199</v>
      </c>
      <c r="Q74">
        <v>1728.7786351515199</v>
      </c>
    </row>
    <row r="75" spans="4:17">
      <c r="D75" s="4"/>
      <c r="J75">
        <v>2535.0568130792399</v>
      </c>
      <c r="K75">
        <f t="shared" si="3"/>
        <v>2532.0568130792399</v>
      </c>
      <c r="L75">
        <f t="shared" si="4"/>
        <v>2540.0568130792399</v>
      </c>
      <c r="O75">
        <v>1727.78507421263</v>
      </c>
      <c r="P75">
        <f t="shared" si="5"/>
        <v>1722.78507421263</v>
      </c>
      <c r="Q75">
        <v>1722.78507421263</v>
      </c>
    </row>
    <row r="76" spans="4:17">
      <c r="D76" s="4"/>
      <c r="J76">
        <v>2535.7972794622201</v>
      </c>
      <c r="K76">
        <f t="shared" si="3"/>
        <v>2532.7972794622201</v>
      </c>
      <c r="L76">
        <f t="shared" si="4"/>
        <v>2540.7972794622201</v>
      </c>
      <c r="O76">
        <v>1720.98868879359</v>
      </c>
      <c r="P76">
        <f t="shared" si="5"/>
        <v>1715.98868879359</v>
      </c>
      <c r="Q76">
        <v>1715.98868879359</v>
      </c>
    </row>
    <row r="77" spans="4:17">
      <c r="D77" s="4"/>
      <c r="J77">
        <v>2536.5320853626099</v>
      </c>
      <c r="K77">
        <f t="shared" si="3"/>
        <v>2533.5320853626099</v>
      </c>
      <c r="L77">
        <f t="shared" si="4"/>
        <v>2541.5320853626099</v>
      </c>
      <c r="O77">
        <v>1713.99558759092</v>
      </c>
      <c r="P77">
        <f t="shared" si="5"/>
        <v>1708.99558759092</v>
      </c>
      <c r="Q77">
        <v>1708.99558759092</v>
      </c>
    </row>
    <row r="78" spans="4:17">
      <c r="D78" s="4"/>
      <c r="J78">
        <v>2537.2579687122902</v>
      </c>
      <c r="K78">
        <f t="shared" si="3"/>
        <v>2534.2579687122902</v>
      </c>
      <c r="L78">
        <f t="shared" si="4"/>
        <v>2542.2579687122902</v>
      </c>
      <c r="O78">
        <v>1712.4244542945501</v>
      </c>
      <c r="P78">
        <f t="shared" si="5"/>
        <v>1707.4244542945501</v>
      </c>
      <c r="Q78">
        <v>1707.4244542945501</v>
      </c>
    </row>
    <row r="79" spans="4:17">
      <c r="D79" s="4"/>
      <c r="J79">
        <v>2539.6607044499801</v>
      </c>
      <c r="K79">
        <f t="shared" si="3"/>
        <v>2536.6607044499801</v>
      </c>
      <c r="L79">
        <f t="shared" si="4"/>
        <v>2544.6607044499801</v>
      </c>
      <c r="O79">
        <v>1702.09352313566</v>
      </c>
      <c r="P79">
        <f t="shared" si="5"/>
        <v>1697.09352313566</v>
      </c>
      <c r="Q79">
        <v>1697.09352313566</v>
      </c>
    </row>
    <row r="80" spans="4:17">
      <c r="D80" s="4"/>
      <c r="J80">
        <v>2542.0176619458398</v>
      </c>
      <c r="K80">
        <f t="shared" si="3"/>
        <v>2539.0176619458398</v>
      </c>
      <c r="L80">
        <f t="shared" si="4"/>
        <v>2547.0176619458398</v>
      </c>
      <c r="O80">
        <v>1698.1096911294701</v>
      </c>
      <c r="P80">
        <f t="shared" si="5"/>
        <v>1693.1096911294701</v>
      </c>
      <c r="Q80">
        <v>1693.1096911294701</v>
      </c>
    </row>
    <row r="81" spans="4:17">
      <c r="D81" s="4"/>
      <c r="J81">
        <v>2544.3322661782499</v>
      </c>
      <c r="K81">
        <f t="shared" si="3"/>
        <v>2541.3322661782499</v>
      </c>
      <c r="L81">
        <f t="shared" si="4"/>
        <v>2549.3322661782499</v>
      </c>
      <c r="O81">
        <v>1694</v>
      </c>
      <c r="P81">
        <f t="shared" si="5"/>
        <v>1689</v>
      </c>
      <c r="Q81">
        <v>1689</v>
      </c>
    </row>
    <row r="82" spans="4:17">
      <c r="D82" s="4"/>
      <c r="J82">
        <v>2544.23498617825</v>
      </c>
      <c r="K82">
        <f t="shared" si="3"/>
        <v>2541.23498617825</v>
      </c>
      <c r="L82">
        <f t="shared" si="4"/>
        <v>2549.23498617825</v>
      </c>
      <c r="O82">
        <v>1697.5211600864</v>
      </c>
      <c r="P82">
        <f t="shared" si="5"/>
        <v>1692.5211600864</v>
      </c>
      <c r="Q82">
        <v>1692.5211600864</v>
      </c>
    </row>
    <row r="83" spans="4:17">
      <c r="D83" s="4"/>
      <c r="J83">
        <v>2544.13770617825</v>
      </c>
      <c r="K83">
        <f t="shared" si="3"/>
        <v>2541.13770617825</v>
      </c>
      <c r="L83">
        <f t="shared" si="4"/>
        <v>2549.13770617825</v>
      </c>
      <c r="O83">
        <v>1702.38605762268</v>
      </c>
      <c r="P83">
        <f t="shared" si="5"/>
        <v>1697.38605762268</v>
      </c>
      <c r="Q83">
        <v>1697.38605762268</v>
      </c>
    </row>
    <row r="84" spans="4:17">
      <c r="D84" s="4"/>
      <c r="J84">
        <v>2544.0404261782501</v>
      </c>
      <c r="K84">
        <f t="shared" si="3"/>
        <v>2541.0404261782501</v>
      </c>
      <c r="L84">
        <f t="shared" si="4"/>
        <v>2549.0404261782501</v>
      </c>
      <c r="O84">
        <v>1707.53188456931</v>
      </c>
      <c r="P84">
        <f t="shared" si="5"/>
        <v>1702.53188456931</v>
      </c>
      <c r="Q84">
        <v>1702.53188456931</v>
      </c>
    </row>
    <row r="85" spans="4:17">
      <c r="D85" s="4"/>
      <c r="J85">
        <v>2544.5352853086802</v>
      </c>
      <c r="K85">
        <f t="shared" si="3"/>
        <v>2541.5352853086802</v>
      </c>
      <c r="L85">
        <f t="shared" si="4"/>
        <v>2549.5352853086802</v>
      </c>
      <c r="O85">
        <v>1711.92023261598</v>
      </c>
      <c r="P85">
        <f t="shared" si="5"/>
        <v>1706.92023261598</v>
      </c>
      <c r="Q85">
        <v>1706.92023261598</v>
      </c>
    </row>
    <row r="86" spans="4:17">
      <c r="D86" s="4"/>
      <c r="J86">
        <v>2545.0297138042702</v>
      </c>
      <c r="K86">
        <f t="shared" si="3"/>
        <v>2542.0297138042702</v>
      </c>
      <c r="L86">
        <f t="shared" si="4"/>
        <v>2550.0297138042702</v>
      </c>
      <c r="O86">
        <v>1716.1331138890901</v>
      </c>
      <c r="P86">
        <f t="shared" si="5"/>
        <v>1711.1331138890901</v>
      </c>
      <c r="Q86">
        <v>1711.1331138890901</v>
      </c>
    </row>
    <row r="87" spans="4:17">
      <c r="D87" s="4"/>
      <c r="J87">
        <v>2545.5175035185598</v>
      </c>
      <c r="K87">
        <f t="shared" si="3"/>
        <v>2542.5175035185598</v>
      </c>
      <c r="L87">
        <f t="shared" si="4"/>
        <v>2550.5175035185598</v>
      </c>
      <c r="O87">
        <v>1716.43673000028</v>
      </c>
      <c r="P87">
        <f t="shared" si="5"/>
        <v>1711.43673000028</v>
      </c>
      <c r="Q87">
        <v>1711.43673000028</v>
      </c>
    </row>
    <row r="88" spans="4:17">
      <c r="D88" s="4"/>
      <c r="J88">
        <v>2552.0527283146898</v>
      </c>
      <c r="K88">
        <f t="shared" si="3"/>
        <v>2549.0527283146898</v>
      </c>
      <c r="L88">
        <f t="shared" si="4"/>
        <v>2557.0527283146898</v>
      </c>
      <c r="O88">
        <v>1720.0970721807701</v>
      </c>
      <c r="P88">
        <f t="shared" si="5"/>
        <v>1715.0970721807701</v>
      </c>
      <c r="Q88">
        <v>1715.0970721807701</v>
      </c>
    </row>
    <row r="89" spans="4:17">
      <c r="D89" s="4"/>
      <c r="J89">
        <v>2553.7678862453999</v>
      </c>
      <c r="K89">
        <f t="shared" si="3"/>
        <v>2550.7678862453999</v>
      </c>
      <c r="L89">
        <f t="shared" si="4"/>
        <v>2558.7678862453999</v>
      </c>
      <c r="O89">
        <v>1732.05738476431</v>
      </c>
      <c r="P89">
        <f t="shared" si="5"/>
        <v>1727.05738476431</v>
      </c>
      <c r="Q89" s="1">
        <v>1725.05738476431</v>
      </c>
    </row>
    <row r="90" spans="4:17">
      <c r="D90" s="4"/>
      <c r="J90">
        <v>2551.6646130989702</v>
      </c>
      <c r="K90">
        <f t="shared" si="3"/>
        <v>2548.6646130989702</v>
      </c>
      <c r="L90">
        <f t="shared" si="4"/>
        <v>2556.6646130989702</v>
      </c>
      <c r="O90">
        <v>1735</v>
      </c>
      <c r="P90">
        <f t="shared" si="5"/>
        <v>1730</v>
      </c>
      <c r="Q90">
        <v>1730</v>
      </c>
    </row>
    <row r="91" spans="4:17">
      <c r="D91" s="4"/>
      <c r="J91">
        <v>2549.9905915076101</v>
      </c>
      <c r="K91">
        <f t="shared" si="3"/>
        <v>2546.9905915076101</v>
      </c>
      <c r="L91">
        <f t="shared" si="4"/>
        <v>2554.9905915076101</v>
      </c>
      <c r="O91">
        <v>1735</v>
      </c>
      <c r="P91">
        <f t="shared" si="5"/>
        <v>1730</v>
      </c>
      <c r="Q91">
        <v>1730</v>
      </c>
    </row>
    <row r="92" spans="4:17">
      <c r="D92" s="4"/>
      <c r="J92">
        <v>2547.4721050829899</v>
      </c>
      <c r="K92">
        <f t="shared" si="3"/>
        <v>2544.4721050829899</v>
      </c>
      <c r="L92">
        <f t="shared" si="4"/>
        <v>2552.4721050829899</v>
      </c>
      <c r="O92">
        <v>1735</v>
      </c>
      <c r="P92">
        <f t="shared" si="5"/>
        <v>1730</v>
      </c>
      <c r="Q92">
        <v>1730</v>
      </c>
    </row>
    <row r="93" spans="4:17">
      <c r="D93" s="4"/>
      <c r="J93">
        <v>2545.5201908488398</v>
      </c>
      <c r="K93">
        <f t="shared" si="3"/>
        <v>2542.5201908488398</v>
      </c>
      <c r="L93">
        <f t="shared" si="4"/>
        <v>2550.5201908488398</v>
      </c>
      <c r="O93">
        <v>1735</v>
      </c>
      <c r="P93">
        <f t="shared" si="5"/>
        <v>1730</v>
      </c>
      <c r="Q93">
        <v>1730</v>
      </c>
    </row>
    <row r="94" spans="4:17">
      <c r="D94" s="4"/>
      <c r="J94">
        <v>2543.8274446292598</v>
      </c>
      <c r="K94">
        <f t="shared" si="3"/>
        <v>2540.8274446292598</v>
      </c>
      <c r="L94">
        <f t="shared" si="4"/>
        <v>2548.8274446292598</v>
      </c>
      <c r="O94">
        <v>1735</v>
      </c>
      <c r="P94">
        <f t="shared" si="5"/>
        <v>1730</v>
      </c>
      <c r="Q94">
        <v>1730</v>
      </c>
    </row>
    <row r="95" spans="4:17">
      <c r="D95" s="4"/>
      <c r="J95">
        <v>2543.59904810752</v>
      </c>
      <c r="K95">
        <f t="shared" si="3"/>
        <v>2540.59904810752</v>
      </c>
      <c r="L95">
        <f t="shared" si="4"/>
        <v>2548.59904810752</v>
      </c>
      <c r="O95">
        <v>1723.51162342867</v>
      </c>
      <c r="P95">
        <f t="shared" si="5"/>
        <v>1718.51162342867</v>
      </c>
      <c r="Q95">
        <v>1718.51162342867</v>
      </c>
    </row>
    <row r="96" spans="4:17">
      <c r="D96" s="4"/>
      <c r="J96">
        <v>2545.11161484884</v>
      </c>
      <c r="K96">
        <f t="shared" si="3"/>
        <v>2542.11161484884</v>
      </c>
      <c r="L96">
        <f t="shared" si="4"/>
        <v>2550.11161484884</v>
      </c>
      <c r="O96">
        <v>1716.18075422016</v>
      </c>
      <c r="P96">
        <f t="shared" si="5"/>
        <v>1711.18075422016</v>
      </c>
      <c r="Q96">
        <v>1711.18075422016</v>
      </c>
    </row>
    <row r="97" spans="4:17">
      <c r="D97" s="4"/>
      <c r="J97">
        <v>2544.3011559336101</v>
      </c>
      <c r="K97">
        <f t="shared" si="3"/>
        <v>2541.3011559336101</v>
      </c>
      <c r="L97">
        <f t="shared" si="4"/>
        <v>2549.3011559336101</v>
      </c>
      <c r="O97">
        <v>1713.25267509171</v>
      </c>
      <c r="P97">
        <f t="shared" si="5"/>
        <v>1708.25267509171</v>
      </c>
      <c r="Q97">
        <v>1708.25267509171</v>
      </c>
    </row>
    <row r="98" spans="4:17">
      <c r="D98" s="4"/>
      <c r="J98">
        <v>2543.4890794118701</v>
      </c>
      <c r="K98">
        <f t="shared" si="3"/>
        <v>2540.4890794118701</v>
      </c>
      <c r="L98">
        <f t="shared" si="4"/>
        <v>2548.4890794118701</v>
      </c>
      <c r="O98">
        <v>1718.09123933142</v>
      </c>
      <c r="P98">
        <f t="shared" si="5"/>
        <v>1713.09123933142</v>
      </c>
      <c r="Q98">
        <v>1713.09123933142</v>
      </c>
    </row>
    <row r="99" spans="4:17">
      <c r="D99" s="4"/>
      <c r="J99">
        <v>2546.8751673157599</v>
      </c>
      <c r="K99">
        <f t="shared" si="3"/>
        <v>2543.8751673157599</v>
      </c>
      <c r="L99">
        <f t="shared" si="4"/>
        <v>2551.8751673157599</v>
      </c>
      <c r="O99">
        <v>1711.5912123433</v>
      </c>
      <c r="P99">
        <f t="shared" si="5"/>
        <v>1706.5912123433</v>
      </c>
      <c r="Q99">
        <v>1706.5912123433</v>
      </c>
    </row>
    <row r="100" spans="4:17">
      <c r="D100" s="4"/>
      <c r="J100">
        <v>2547.91384471935</v>
      </c>
      <c r="K100">
        <f t="shared" si="3"/>
        <v>2544.91384471935</v>
      </c>
      <c r="L100">
        <f t="shared" si="4"/>
        <v>2552.91384471935</v>
      </c>
      <c r="O100">
        <v>1716.0520267668701</v>
      </c>
      <c r="P100">
        <f t="shared" si="5"/>
        <v>1711.0520267668701</v>
      </c>
      <c r="Q100">
        <v>1711.0520267668701</v>
      </c>
    </row>
    <row r="101" spans="4:17">
      <c r="D101" s="4"/>
      <c r="J101">
        <v>2549.3083681309799</v>
      </c>
      <c r="K101">
        <f t="shared" si="3"/>
        <v>2546.3083681309799</v>
      </c>
      <c r="L101">
        <f t="shared" si="4"/>
        <v>2554.3083681309799</v>
      </c>
      <c r="O101">
        <v>1711.1534523432999</v>
      </c>
      <c r="P101">
        <f t="shared" si="5"/>
        <v>1706.1534523432999</v>
      </c>
      <c r="Q101">
        <v>1706.1534523432999</v>
      </c>
    </row>
    <row r="102" spans="4:17">
      <c r="D102" s="4"/>
      <c r="J102">
        <v>2554.9660274308098</v>
      </c>
      <c r="K102">
        <f t="shared" si="3"/>
        <v>2551.9660274308098</v>
      </c>
      <c r="L102">
        <f t="shared" si="4"/>
        <v>2559.9660274308098</v>
      </c>
      <c r="O102">
        <v>1706.96784917287</v>
      </c>
      <c r="P102">
        <f t="shared" si="5"/>
        <v>1701.96784917287</v>
      </c>
      <c r="Q102">
        <v>1701.96784917287</v>
      </c>
    </row>
    <row r="103" spans="4:17">
      <c r="D103" s="4"/>
      <c r="J103">
        <v>2560.29740091637</v>
      </c>
      <c r="K103">
        <f t="shared" si="3"/>
        <v>2557.29740091637</v>
      </c>
      <c r="L103">
        <f t="shared" si="4"/>
        <v>2565.29740091637</v>
      </c>
      <c r="O103">
        <v>1708.3226280101901</v>
      </c>
      <c r="P103">
        <f t="shared" si="5"/>
        <v>1703.3226280101901</v>
      </c>
      <c r="Q103">
        <v>1703.3226280101901</v>
      </c>
    </row>
    <row r="104" spans="4:17">
      <c r="D104" s="4"/>
      <c r="J104">
        <v>2559.65224780569</v>
      </c>
      <c r="K104">
        <f t="shared" si="3"/>
        <v>2556.65224780569</v>
      </c>
      <c r="L104">
        <f t="shared" si="4"/>
        <v>2564.65224780569</v>
      </c>
      <c r="O104">
        <v>1710.2621290843199</v>
      </c>
      <c r="P104">
        <f t="shared" si="5"/>
        <v>1705.2621290843199</v>
      </c>
      <c r="Q104">
        <v>1705.2621290843199</v>
      </c>
    </row>
    <row r="105" spans="4:17">
      <c r="D105" s="4"/>
      <c r="J105">
        <v>2557.37502883768</v>
      </c>
      <c r="K105">
        <f t="shared" si="3"/>
        <v>2554.37502883768</v>
      </c>
      <c r="L105">
        <f t="shared" si="4"/>
        <v>2562.37502883768</v>
      </c>
      <c r="O105">
        <v>1712.8711582302601</v>
      </c>
      <c r="P105">
        <f t="shared" si="5"/>
        <v>1707.8711582302601</v>
      </c>
      <c r="Q105">
        <v>1707.8711582302601</v>
      </c>
    </row>
    <row r="106" spans="4:17">
      <c r="D106" s="4"/>
      <c r="J106">
        <v>2561.0044827206698</v>
      </c>
      <c r="K106">
        <f t="shared" si="3"/>
        <v>2558.0044827206698</v>
      </c>
      <c r="L106">
        <f t="shared" si="4"/>
        <v>2566.0044827206698</v>
      </c>
      <c r="O106">
        <v>1710.6798371761299</v>
      </c>
      <c r="P106">
        <f t="shared" si="5"/>
        <v>1705.6798371761299</v>
      </c>
      <c r="Q106">
        <v>1705.6798371761299</v>
      </c>
    </row>
    <row r="107" spans="4:17">
      <c r="D107" s="4"/>
      <c r="J107">
        <v>2563.27699472532</v>
      </c>
      <c r="K107">
        <f t="shared" si="3"/>
        <v>2560.27699472532</v>
      </c>
      <c r="L107">
        <f t="shared" si="4"/>
        <v>2568.27699472532</v>
      </c>
      <c r="O107">
        <v>1712.40623732673</v>
      </c>
      <c r="P107">
        <f t="shared" si="5"/>
        <v>1707.40623732673</v>
      </c>
      <c r="Q107">
        <v>1707.40623732673</v>
      </c>
    </row>
    <row r="108" spans="4:17">
      <c r="D108" s="4"/>
      <c r="J108">
        <v>2567.7580587924299</v>
      </c>
      <c r="K108">
        <f t="shared" si="3"/>
        <v>2564.7580587924299</v>
      </c>
      <c r="L108">
        <f t="shared" si="4"/>
        <v>2572.7580587924299</v>
      </c>
      <c r="O108">
        <v>1720.6090958366799</v>
      </c>
      <c r="P108">
        <f t="shared" si="5"/>
        <v>1715.6090958366799</v>
      </c>
      <c r="Q108">
        <v>1715.6090958366799</v>
      </c>
    </row>
    <row r="109" spans="4:17">
      <c r="D109" s="4"/>
      <c r="J109">
        <v>2574.6090613624001</v>
      </c>
      <c r="K109">
        <f t="shared" si="3"/>
        <v>2571.6090613624001</v>
      </c>
      <c r="L109">
        <f t="shared" si="4"/>
        <v>2579.6090613624001</v>
      </c>
      <c r="O109">
        <v>1734.98557977993</v>
      </c>
      <c r="P109">
        <f t="shared" si="5"/>
        <v>1729.98557977993</v>
      </c>
      <c r="Q109">
        <v>1729.98557977993</v>
      </c>
    </row>
    <row r="110" spans="4:17">
      <c r="D110" s="4"/>
      <c r="J110">
        <v>2577.6203214902498</v>
      </c>
      <c r="K110">
        <f t="shared" si="3"/>
        <v>2574.6203214902498</v>
      </c>
      <c r="L110">
        <f t="shared" si="4"/>
        <v>2582.6203214902498</v>
      </c>
      <c r="O110">
        <v>1735</v>
      </c>
      <c r="P110">
        <f t="shared" si="5"/>
        <v>1730</v>
      </c>
      <c r="Q110">
        <v>1730</v>
      </c>
    </row>
    <row r="111" spans="4:17">
      <c r="D111" s="4"/>
      <c r="J111">
        <v>2577.2617752045298</v>
      </c>
      <c r="K111">
        <f t="shared" si="3"/>
        <v>2574.2617752045298</v>
      </c>
      <c r="L111">
        <f t="shared" si="4"/>
        <v>2582.2617752045298</v>
      </c>
      <c r="O111">
        <v>1735</v>
      </c>
      <c r="P111">
        <f t="shared" si="5"/>
        <v>1730</v>
      </c>
      <c r="Q111">
        <v>1730</v>
      </c>
    </row>
    <row r="112" spans="4:17">
      <c r="D112" s="4"/>
      <c r="J112">
        <v>2576.1977190716502</v>
      </c>
      <c r="K112">
        <f t="shared" si="3"/>
        <v>2573.1977190716502</v>
      </c>
      <c r="L112">
        <f t="shared" si="4"/>
        <v>2581.1977190716502</v>
      </c>
      <c r="O112">
        <v>1735</v>
      </c>
      <c r="P112">
        <f t="shared" si="5"/>
        <v>1730</v>
      </c>
      <c r="Q112">
        <v>1730</v>
      </c>
    </row>
    <row r="113" spans="4:17">
      <c r="D113" s="4"/>
      <c r="J113">
        <v>2575.62348383686</v>
      </c>
      <c r="K113">
        <f t="shared" si="3"/>
        <v>2572.62348383686</v>
      </c>
      <c r="L113">
        <f t="shared" si="4"/>
        <v>2580.62348383686</v>
      </c>
      <c r="O113">
        <v>1735</v>
      </c>
      <c r="P113">
        <f t="shared" si="5"/>
        <v>1730</v>
      </c>
      <c r="Q113">
        <v>1730</v>
      </c>
    </row>
    <row r="114" spans="4:17">
      <c r="D114" s="4"/>
      <c r="J114">
        <v>2575.3015184175101</v>
      </c>
      <c r="K114">
        <f t="shared" si="3"/>
        <v>2572.3015184175101</v>
      </c>
      <c r="L114">
        <f t="shared" si="4"/>
        <v>2580.3015184175101</v>
      </c>
      <c r="O114">
        <v>1735</v>
      </c>
      <c r="P114">
        <f t="shared" si="5"/>
        <v>1730</v>
      </c>
      <c r="Q114">
        <v>1730</v>
      </c>
    </row>
    <row r="115" spans="4:17">
      <c r="D115" s="4"/>
      <c r="J115">
        <v>2573.92629785996</v>
      </c>
      <c r="K115">
        <f t="shared" si="3"/>
        <v>2570.92629785996</v>
      </c>
      <c r="L115">
        <f t="shared" si="4"/>
        <v>2578.92629785996</v>
      </c>
      <c r="O115">
        <v>1722.0028471027999</v>
      </c>
      <c r="P115">
        <f t="shared" si="5"/>
        <v>1717.0028471027999</v>
      </c>
      <c r="Q115">
        <v>1717.0028471027999</v>
      </c>
    </row>
    <row r="116" spans="4:17">
      <c r="D116" s="4"/>
      <c r="J116">
        <v>2574.0724627668701</v>
      </c>
      <c r="K116">
        <f t="shared" si="3"/>
        <v>2571.0724627668701</v>
      </c>
      <c r="L116">
        <f t="shared" si="4"/>
        <v>2579.0724627668701</v>
      </c>
      <c r="O116">
        <v>1716.65227402299</v>
      </c>
      <c r="P116">
        <f t="shared" si="5"/>
        <v>1711.65227402299</v>
      </c>
      <c r="Q116">
        <v>1711.65227402299</v>
      </c>
    </row>
    <row r="117" spans="4:17">
      <c r="D117" s="4"/>
      <c r="J117">
        <v>2572.5144692980898</v>
      </c>
      <c r="K117">
        <f t="shared" si="3"/>
        <v>2569.5144692980898</v>
      </c>
      <c r="L117">
        <f t="shared" si="4"/>
        <v>2577.5144692980898</v>
      </c>
      <c r="O117">
        <v>1716.65227402299</v>
      </c>
      <c r="P117">
        <f t="shared" si="5"/>
        <v>1711.65227402299</v>
      </c>
      <c r="Q117">
        <v>1711.65227402299</v>
      </c>
    </row>
    <row r="118" spans="4:17">
      <c r="D118" s="4"/>
      <c r="J118">
        <v>2570.9261490048898</v>
      </c>
      <c r="K118">
        <f t="shared" si="3"/>
        <v>2567.9261490048898</v>
      </c>
      <c r="L118">
        <f t="shared" si="4"/>
        <v>2575.9261490048898</v>
      </c>
      <c r="O118">
        <v>1716.65227402299</v>
      </c>
      <c r="P118">
        <f t="shared" si="5"/>
        <v>1711.65227402299</v>
      </c>
      <c r="Q118">
        <v>1711.65227402299</v>
      </c>
    </row>
    <row r="119" spans="4:17">
      <c r="D119" s="4"/>
      <c r="J119">
        <v>2571.5962589671999</v>
      </c>
      <c r="K119">
        <f t="shared" si="3"/>
        <v>2568.5962589671999</v>
      </c>
      <c r="L119">
        <f t="shared" si="4"/>
        <v>2576.5962589671999</v>
      </c>
      <c r="O119">
        <v>1722.8847773377299</v>
      </c>
      <c r="P119">
        <f t="shared" si="5"/>
        <v>1717.8847773377299</v>
      </c>
      <c r="Q119">
        <v>1717.8847773377299</v>
      </c>
    </row>
    <row r="120" spans="4:17">
      <c r="D120" s="4"/>
      <c r="J120">
        <v>2571.4187886969298</v>
      </c>
      <c r="K120">
        <f t="shared" si="3"/>
        <v>2568.4187886969298</v>
      </c>
      <c r="L120">
        <f t="shared" si="4"/>
        <v>2576.4187886969298</v>
      </c>
      <c r="O120">
        <v>1724.26326013278</v>
      </c>
      <c r="P120">
        <f t="shared" si="5"/>
        <v>1719.26326013278</v>
      </c>
      <c r="Q120">
        <v>1719.26326013278</v>
      </c>
    </row>
    <row r="121" spans="4:17">
      <c r="D121" s="4"/>
      <c r="J121">
        <v>2572.7398181809699</v>
      </c>
      <c r="K121">
        <f t="shared" si="3"/>
        <v>2569.7398181809699</v>
      </c>
      <c r="L121">
        <f t="shared" si="4"/>
        <v>2577.7398181809699</v>
      </c>
      <c r="O121">
        <v>1721.54650899171</v>
      </c>
      <c r="P121">
        <f t="shared" si="5"/>
        <v>1716.54650899171</v>
      </c>
      <c r="Q121">
        <v>1716.54650899171</v>
      </c>
    </row>
    <row r="122" spans="4:17">
      <c r="D122" s="4"/>
      <c r="J122">
        <v>2573.6072416259599</v>
      </c>
      <c r="K122">
        <f t="shared" si="3"/>
        <v>2570.6072416259599</v>
      </c>
      <c r="L122">
        <f t="shared" si="4"/>
        <v>2578.6072416259599</v>
      </c>
      <c r="O122">
        <v>1722.6883990199799</v>
      </c>
      <c r="P122">
        <f t="shared" si="5"/>
        <v>1717.6883990199799</v>
      </c>
      <c r="Q122">
        <v>1717.6883990199799</v>
      </c>
    </row>
    <row r="123" spans="4:17">
      <c r="D123" s="4"/>
      <c r="J123">
        <v>2574.4666366589299</v>
      </c>
      <c r="K123">
        <f t="shared" si="3"/>
        <v>2571.4666366589299</v>
      </c>
      <c r="L123">
        <f t="shared" si="4"/>
        <v>2579.4666366589299</v>
      </c>
      <c r="O123">
        <v>1723.79527686488</v>
      </c>
      <c r="P123">
        <f t="shared" si="5"/>
        <v>1718.79527686488</v>
      </c>
      <c r="Q123">
        <v>1718.79527686488</v>
      </c>
    </row>
    <row r="124" spans="4:17">
      <c r="D124" s="4"/>
      <c r="J124">
        <v>2571.56668058882</v>
      </c>
      <c r="K124">
        <f t="shared" si="3"/>
        <v>2568.56668058882</v>
      </c>
      <c r="L124">
        <f t="shared" si="4"/>
        <v>2576.56668058882</v>
      </c>
      <c r="O124">
        <v>1724.4689370823201</v>
      </c>
      <c r="P124">
        <f t="shared" si="5"/>
        <v>1719.4689370823201</v>
      </c>
      <c r="Q124">
        <v>1719.4689370823201</v>
      </c>
    </row>
    <row r="125" spans="4:17">
      <c r="D125" s="4"/>
      <c r="J125">
        <v>2569.89427769651</v>
      </c>
      <c r="K125">
        <f t="shared" si="3"/>
        <v>2566.89427769651</v>
      </c>
      <c r="L125">
        <f t="shared" si="4"/>
        <v>2574.89427769651</v>
      </c>
      <c r="O125">
        <v>1731.24478023495</v>
      </c>
      <c r="P125">
        <f t="shared" si="5"/>
        <v>1726.24478023495</v>
      </c>
      <c r="Q125">
        <v>1726.24478023495</v>
      </c>
    </row>
    <row r="126" spans="4:17">
      <c r="D126" s="4"/>
      <c r="J126">
        <v>2572.0977701809702</v>
      </c>
      <c r="K126">
        <f t="shared" si="3"/>
        <v>2569.0977701809702</v>
      </c>
      <c r="L126">
        <f t="shared" si="4"/>
        <v>2577.0977701809702</v>
      </c>
      <c r="O126">
        <v>1735</v>
      </c>
      <c r="P126">
        <f t="shared" si="5"/>
        <v>1730</v>
      </c>
      <c r="Q126">
        <v>1730</v>
      </c>
    </row>
    <row r="127" spans="4:17">
      <c r="D127" s="4"/>
      <c r="J127">
        <v>2575.9121698525501</v>
      </c>
      <c r="K127">
        <f t="shared" si="3"/>
        <v>2572.9121698525501</v>
      </c>
      <c r="L127">
        <f t="shared" si="4"/>
        <v>2580.9121698525501</v>
      </c>
      <c r="O127">
        <v>1735</v>
      </c>
      <c r="P127">
        <f t="shared" si="5"/>
        <v>1730</v>
      </c>
      <c r="Q127">
        <v>1730</v>
      </c>
    </row>
    <row r="128" spans="4:17">
      <c r="D128" s="4"/>
      <c r="J128">
        <v>2581.5086385801501</v>
      </c>
      <c r="K128">
        <f t="shared" si="3"/>
        <v>2578.5086385801501</v>
      </c>
      <c r="L128">
        <f t="shared" si="4"/>
        <v>2586.5086385801501</v>
      </c>
      <c r="O128">
        <v>1735</v>
      </c>
      <c r="P128">
        <f t="shared" si="5"/>
        <v>1730</v>
      </c>
      <c r="Q128">
        <v>1730</v>
      </c>
    </row>
    <row r="129" spans="4:17">
      <c r="D129" s="4"/>
      <c r="J129">
        <v>2584.5399972103</v>
      </c>
      <c r="K129">
        <f t="shared" si="3"/>
        <v>2581.5399972103</v>
      </c>
      <c r="L129">
        <f t="shared" si="4"/>
        <v>2589.5399972103</v>
      </c>
      <c r="O129">
        <v>1735</v>
      </c>
      <c r="P129">
        <f t="shared" si="5"/>
        <v>1730</v>
      </c>
      <c r="Q129">
        <v>1730</v>
      </c>
    </row>
    <row r="130" spans="4:17">
      <c r="D130" s="4"/>
      <c r="J130">
        <v>2584.0673713695901</v>
      </c>
      <c r="K130">
        <f t="shared" si="3"/>
        <v>2581.0673713695901</v>
      </c>
      <c r="L130">
        <f t="shared" si="4"/>
        <v>2589.0673713695901</v>
      </c>
      <c r="O130">
        <v>1735</v>
      </c>
      <c r="P130">
        <f t="shared" si="5"/>
        <v>1730</v>
      </c>
      <c r="Q130">
        <v>1730</v>
      </c>
    </row>
    <row r="131" spans="4:17">
      <c r="D131" s="4"/>
      <c r="J131">
        <v>2583.0881161023599</v>
      </c>
      <c r="K131">
        <f t="shared" ref="K131:K194" si="6">J131-3</f>
        <v>2580.0881161023599</v>
      </c>
      <c r="L131">
        <f t="shared" ref="L131:L194" si="7">J131+5</f>
        <v>2588.0881161023599</v>
      </c>
      <c r="O131">
        <v>1735</v>
      </c>
      <c r="P131">
        <f t="shared" ref="P131:P194" si="8">O131-5</f>
        <v>1730</v>
      </c>
      <c r="Q131">
        <v>1730</v>
      </c>
    </row>
    <row r="132" spans="4:17">
      <c r="D132" s="4"/>
      <c r="J132">
        <v>2581.72484931186</v>
      </c>
      <c r="K132">
        <f t="shared" si="6"/>
        <v>2578.72484931186</v>
      </c>
      <c r="L132">
        <f t="shared" si="7"/>
        <v>2586.72484931186</v>
      </c>
      <c r="O132">
        <v>1735</v>
      </c>
      <c r="P132">
        <f t="shared" si="8"/>
        <v>1730</v>
      </c>
      <c r="Q132">
        <v>1730</v>
      </c>
    </row>
    <row r="133" spans="4:17">
      <c r="D133" s="4"/>
      <c r="J133">
        <v>2580.68899795166</v>
      </c>
      <c r="K133">
        <f t="shared" si="6"/>
        <v>2577.68899795166</v>
      </c>
      <c r="L133">
        <f t="shared" si="7"/>
        <v>2585.68899795166</v>
      </c>
      <c r="O133">
        <v>1735</v>
      </c>
      <c r="P133">
        <f t="shared" si="8"/>
        <v>1730</v>
      </c>
      <c r="Q133">
        <v>1730</v>
      </c>
    </row>
    <row r="134" spans="4:17">
      <c r="D134" s="4"/>
      <c r="J134">
        <v>2580.0909504439701</v>
      </c>
      <c r="K134">
        <f t="shared" si="6"/>
        <v>2577.0909504439701</v>
      </c>
      <c r="L134">
        <f t="shared" si="7"/>
        <v>2585.0909504439701</v>
      </c>
      <c r="O134">
        <v>1735</v>
      </c>
      <c r="P134">
        <f t="shared" si="8"/>
        <v>1730</v>
      </c>
      <c r="Q134">
        <v>1730</v>
      </c>
    </row>
    <row r="135" spans="4:17">
      <c r="D135" s="4"/>
      <c r="J135">
        <v>2580.35764730551</v>
      </c>
      <c r="K135">
        <f t="shared" si="6"/>
        <v>2577.35764730551</v>
      </c>
      <c r="L135">
        <f t="shared" si="7"/>
        <v>2585.35764730551</v>
      </c>
      <c r="O135">
        <v>1722.3219618691601</v>
      </c>
      <c r="P135">
        <f t="shared" si="8"/>
        <v>1717.3219618691601</v>
      </c>
      <c r="Q135">
        <v>1717.3219618691601</v>
      </c>
    </row>
    <row r="136" spans="4:17">
      <c r="D136" s="4"/>
      <c r="J136">
        <v>2579.4183970538602</v>
      </c>
      <c r="K136">
        <f t="shared" si="6"/>
        <v>2576.4183970538602</v>
      </c>
      <c r="L136">
        <f t="shared" si="7"/>
        <v>2584.4183970538602</v>
      </c>
      <c r="O136">
        <v>1723.27168872727</v>
      </c>
      <c r="P136">
        <f t="shared" si="8"/>
        <v>1718.27168872727</v>
      </c>
      <c r="Q136">
        <v>1718.27168872727</v>
      </c>
    </row>
    <row r="137" spans="4:17">
      <c r="D137" s="4"/>
      <c r="J137">
        <v>2578.4697343845601</v>
      </c>
      <c r="K137">
        <f t="shared" si="6"/>
        <v>2575.4697343845601</v>
      </c>
      <c r="L137">
        <f t="shared" si="7"/>
        <v>2583.4697343845601</v>
      </c>
      <c r="O137">
        <v>1724.19580350877</v>
      </c>
      <c r="P137">
        <f t="shared" si="8"/>
        <v>1719.19580350877</v>
      </c>
      <c r="Q137">
        <v>1719.19580350877</v>
      </c>
    </row>
    <row r="138" spans="4:17">
      <c r="D138" s="4"/>
      <c r="J138">
        <v>2577.5125257596501</v>
      </c>
      <c r="K138">
        <f t="shared" si="6"/>
        <v>2574.5125257596501</v>
      </c>
      <c r="L138">
        <f t="shared" si="7"/>
        <v>2582.5125257596501</v>
      </c>
      <c r="O138">
        <v>1725.0919439316201</v>
      </c>
      <c r="P138">
        <f t="shared" si="8"/>
        <v>1720.0919439316201</v>
      </c>
      <c r="Q138">
        <v>1720.0919439316201</v>
      </c>
    </row>
    <row r="139" spans="4:17">
      <c r="D139" s="4"/>
      <c r="J139">
        <v>2576.8640557645099</v>
      </c>
      <c r="K139">
        <f t="shared" si="6"/>
        <v>2573.8640557645099</v>
      </c>
      <c r="L139">
        <f t="shared" si="7"/>
        <v>2581.8640557645099</v>
      </c>
      <c r="O139">
        <v>1725.45113162393</v>
      </c>
      <c r="P139">
        <f t="shared" si="8"/>
        <v>1720.45113162393</v>
      </c>
      <c r="Q139">
        <v>1720.45113162393</v>
      </c>
    </row>
    <row r="140" spans="4:17">
      <c r="D140" s="4"/>
      <c r="J140">
        <v>2577.85717490251</v>
      </c>
      <c r="K140">
        <f t="shared" si="6"/>
        <v>2574.85717490251</v>
      </c>
      <c r="L140">
        <f t="shared" si="7"/>
        <v>2582.85717490251</v>
      </c>
      <c r="O140">
        <v>1721.1274092307699</v>
      </c>
      <c r="P140">
        <f t="shared" si="8"/>
        <v>1716.1274092307699</v>
      </c>
      <c r="Q140">
        <v>1716.1274092307699</v>
      </c>
    </row>
    <row r="141" spans="4:17">
      <c r="D141" s="4"/>
      <c r="J141">
        <v>2578.8961259013099</v>
      </c>
      <c r="K141">
        <f t="shared" si="6"/>
        <v>2575.8961259013099</v>
      </c>
      <c r="L141">
        <f t="shared" si="7"/>
        <v>2583.8961259013099</v>
      </c>
      <c r="O141">
        <v>1715.8847787818399</v>
      </c>
      <c r="P141">
        <f t="shared" si="8"/>
        <v>1710.8847787818399</v>
      </c>
      <c r="Q141">
        <v>1710.8847787818399</v>
      </c>
    </row>
    <row r="142" spans="4:17">
      <c r="D142" s="4"/>
      <c r="J142">
        <v>2577.7678741479899</v>
      </c>
      <c r="K142">
        <f t="shared" si="6"/>
        <v>2574.7678741479899</v>
      </c>
      <c r="L142">
        <f t="shared" si="7"/>
        <v>2582.7678741479899</v>
      </c>
      <c r="O142">
        <v>1717.61846552972</v>
      </c>
      <c r="P142">
        <f t="shared" si="8"/>
        <v>1712.61846552972</v>
      </c>
      <c r="Q142">
        <v>1712.61846552972</v>
      </c>
    </row>
    <row r="143" spans="4:17">
      <c r="D143" s="4"/>
      <c r="J143">
        <v>2576.6287305962201</v>
      </c>
      <c r="K143">
        <f t="shared" si="6"/>
        <v>2573.6287305962201</v>
      </c>
      <c r="L143">
        <f t="shared" si="7"/>
        <v>2581.6287305962201</v>
      </c>
      <c r="O143">
        <v>1719.24744719253</v>
      </c>
      <c r="P143">
        <f t="shared" si="8"/>
        <v>1714.24744719253</v>
      </c>
      <c r="Q143">
        <v>1714.24744719253</v>
      </c>
    </row>
    <row r="144" spans="4:17">
      <c r="D144" s="4"/>
      <c r="J144">
        <v>2575.4796935374702</v>
      </c>
      <c r="K144">
        <f t="shared" si="6"/>
        <v>2572.4796935374702</v>
      </c>
      <c r="L144">
        <f t="shared" si="7"/>
        <v>2580.4796935374702</v>
      </c>
      <c r="O144">
        <v>1725.0820428997199</v>
      </c>
      <c r="P144">
        <f t="shared" si="8"/>
        <v>1720.0820428997199</v>
      </c>
      <c r="Q144">
        <v>1720.0820428997199</v>
      </c>
    </row>
    <row r="145" spans="4:17">
      <c r="D145" s="4"/>
      <c r="J145">
        <v>2573.98990959413</v>
      </c>
      <c r="K145">
        <f t="shared" si="6"/>
        <v>2570.98990959413</v>
      </c>
      <c r="L145">
        <f t="shared" si="7"/>
        <v>2578.98990959413</v>
      </c>
      <c r="O145">
        <v>1726.14956621233</v>
      </c>
      <c r="P145">
        <f t="shared" si="8"/>
        <v>1721.14956621233</v>
      </c>
      <c r="Q145">
        <v>1721.14956621233</v>
      </c>
    </row>
    <row r="146" spans="4:17">
      <c r="D146" s="4"/>
      <c r="J146">
        <v>2572.47386678872</v>
      </c>
      <c r="K146">
        <f t="shared" si="6"/>
        <v>2569.47386678872</v>
      </c>
      <c r="L146">
        <f t="shared" si="7"/>
        <v>2577.47386678872</v>
      </c>
      <c r="O146">
        <v>1727.19510357128</v>
      </c>
      <c r="P146">
        <f t="shared" si="8"/>
        <v>1722.19510357128</v>
      </c>
      <c r="Q146">
        <v>1722.19510357128</v>
      </c>
    </row>
    <row r="147" spans="4:17">
      <c r="D147" s="4"/>
      <c r="J147">
        <v>2570.9294094404599</v>
      </c>
      <c r="K147">
        <f t="shared" si="6"/>
        <v>2567.9294094404599</v>
      </c>
      <c r="L147">
        <f t="shared" si="7"/>
        <v>2575.9294094404599</v>
      </c>
      <c r="O147">
        <v>1728.21126692958</v>
      </c>
      <c r="P147">
        <f t="shared" si="8"/>
        <v>1723.21126692958</v>
      </c>
      <c r="Q147">
        <v>1723.21126692958</v>
      </c>
    </row>
    <row r="148" spans="4:17">
      <c r="D148" s="4"/>
      <c r="J148">
        <v>2570.4436757418298</v>
      </c>
      <c r="K148">
        <f t="shared" si="6"/>
        <v>2567.4436757418298</v>
      </c>
      <c r="L148">
        <f t="shared" si="7"/>
        <v>2575.4436757418298</v>
      </c>
      <c r="O148">
        <v>1716.6288953938799</v>
      </c>
      <c r="P148">
        <f t="shared" si="8"/>
        <v>1711.6288953938799</v>
      </c>
      <c r="Q148">
        <v>1711.6288953938799</v>
      </c>
    </row>
    <row r="149" spans="4:17">
      <c r="D149" s="4"/>
      <c r="J149">
        <v>2568.8930474007502</v>
      </c>
      <c r="K149">
        <f t="shared" si="6"/>
        <v>2565.8930474007502</v>
      </c>
      <c r="L149">
        <f t="shared" si="7"/>
        <v>2573.8930474007502</v>
      </c>
      <c r="O149">
        <v>1724.7457834402301</v>
      </c>
      <c r="P149">
        <f t="shared" si="8"/>
        <v>1719.7457834402301</v>
      </c>
      <c r="Q149">
        <v>1719.7457834402301</v>
      </c>
    </row>
    <row r="150" spans="4:17">
      <c r="D150" s="4"/>
      <c r="J150">
        <v>2565.31340258706</v>
      </c>
      <c r="K150">
        <f t="shared" si="6"/>
        <v>2562.31340258706</v>
      </c>
      <c r="L150">
        <f t="shared" si="7"/>
        <v>2570.31340258706</v>
      </c>
      <c r="O150">
        <v>1726.38452262341</v>
      </c>
      <c r="P150">
        <f t="shared" si="8"/>
        <v>1721.38452262341</v>
      </c>
      <c r="Q150">
        <v>1721.38452262341</v>
      </c>
    </row>
    <row r="151" spans="4:17">
      <c r="D151" s="4"/>
      <c r="J151">
        <v>2560.1220604485202</v>
      </c>
      <c r="K151">
        <f t="shared" si="6"/>
        <v>2557.1220604485202</v>
      </c>
      <c r="L151">
        <f t="shared" si="7"/>
        <v>2565.1220604485202</v>
      </c>
      <c r="O151">
        <v>1732.3939036321999</v>
      </c>
      <c r="P151">
        <f t="shared" si="8"/>
        <v>1727.3939036321999</v>
      </c>
      <c r="Q151">
        <v>1727.3939036321999</v>
      </c>
    </row>
    <row r="152" spans="4:17">
      <c r="D152" s="4"/>
      <c r="J152">
        <v>2555.8403258318399</v>
      </c>
      <c r="K152">
        <f t="shared" si="6"/>
        <v>2552.8403258318399</v>
      </c>
      <c r="L152">
        <f t="shared" si="7"/>
        <v>2560.8403258318399</v>
      </c>
      <c r="O152">
        <v>1735</v>
      </c>
      <c r="P152">
        <f t="shared" si="8"/>
        <v>1730</v>
      </c>
      <c r="Q152">
        <v>1730</v>
      </c>
    </row>
    <row r="153" spans="4:17">
      <c r="D153" s="4"/>
      <c r="J153">
        <v>2553.4475419533401</v>
      </c>
      <c r="K153">
        <f t="shared" si="6"/>
        <v>2550.4475419533401</v>
      </c>
      <c r="L153">
        <f t="shared" si="7"/>
        <v>2558.4475419533401</v>
      </c>
      <c r="O153">
        <v>1735</v>
      </c>
      <c r="P153">
        <f t="shared" si="8"/>
        <v>1730</v>
      </c>
      <c r="Q153">
        <v>1730</v>
      </c>
    </row>
    <row r="154" spans="4:17">
      <c r="D154" s="4"/>
      <c r="J154">
        <v>2551.1897524629899</v>
      </c>
      <c r="K154">
        <f t="shared" si="6"/>
        <v>2548.1897524629899</v>
      </c>
      <c r="L154">
        <f t="shared" si="7"/>
        <v>2556.1897524629899</v>
      </c>
      <c r="O154">
        <v>1735</v>
      </c>
      <c r="P154">
        <f t="shared" si="8"/>
        <v>1730</v>
      </c>
      <c r="Q154">
        <v>1730</v>
      </c>
    </row>
    <row r="155" spans="4:17">
      <c r="D155" s="4"/>
      <c r="J155">
        <v>2542.48397809172</v>
      </c>
      <c r="K155">
        <f t="shared" si="6"/>
        <v>2539.48397809172</v>
      </c>
      <c r="L155">
        <f t="shared" si="7"/>
        <v>2547.48397809172</v>
      </c>
      <c r="O155">
        <v>1734.45864793893</v>
      </c>
      <c r="P155">
        <f t="shared" si="8"/>
        <v>1729.45864793893</v>
      </c>
      <c r="Q155">
        <v>1729.45864793893</v>
      </c>
    </row>
    <row r="156" spans="4:17">
      <c r="D156" s="4"/>
      <c r="J156">
        <v>2543.4152385932498</v>
      </c>
      <c r="K156">
        <f t="shared" si="6"/>
        <v>2540.4152385932498</v>
      </c>
      <c r="L156">
        <f t="shared" si="7"/>
        <v>2548.4152385932498</v>
      </c>
      <c r="O156">
        <v>1728.12882064516</v>
      </c>
      <c r="P156">
        <f t="shared" si="8"/>
        <v>1723.12882064516</v>
      </c>
      <c r="Q156">
        <v>1723.12882064516</v>
      </c>
    </row>
    <row r="157" spans="4:17">
      <c r="D157" s="4"/>
      <c r="J157">
        <v>2544.3415133758499</v>
      </c>
      <c r="K157">
        <f t="shared" si="6"/>
        <v>2541.3415133758499</v>
      </c>
      <c r="L157">
        <f t="shared" si="7"/>
        <v>2549.3415133758499</v>
      </c>
      <c r="O157">
        <v>1720.94915485149</v>
      </c>
      <c r="P157">
        <f t="shared" si="8"/>
        <v>1715.94915485149</v>
      </c>
      <c r="Q157">
        <v>1715.94915485149</v>
      </c>
    </row>
    <row r="158" spans="4:17">
      <c r="D158" s="4"/>
      <c r="J158">
        <v>2542.94095682342</v>
      </c>
      <c r="K158">
        <f t="shared" si="6"/>
        <v>2539.94095682342</v>
      </c>
      <c r="L158">
        <f t="shared" si="7"/>
        <v>2547.94095682342</v>
      </c>
      <c r="O158">
        <v>1717.4810168888901</v>
      </c>
      <c r="P158">
        <f t="shared" si="8"/>
        <v>1712.4810168888901</v>
      </c>
      <c r="Q158">
        <v>1712.4810168888901</v>
      </c>
    </row>
    <row r="159" spans="4:17">
      <c r="D159" s="4"/>
      <c r="J159">
        <v>2541.11292920592</v>
      </c>
      <c r="K159">
        <f t="shared" si="6"/>
        <v>2538.11292920592</v>
      </c>
      <c r="L159">
        <f t="shared" si="7"/>
        <v>2546.11292920592</v>
      </c>
      <c r="O159">
        <v>1724.9561235087699</v>
      </c>
      <c r="P159">
        <f t="shared" si="8"/>
        <v>1719.9561235087699</v>
      </c>
      <c r="Q159">
        <v>1719.9561235087699</v>
      </c>
    </row>
    <row r="160" spans="4:17">
      <c r="D160" s="4"/>
      <c r="J160">
        <v>2543.0176594628101</v>
      </c>
      <c r="K160">
        <f t="shared" si="6"/>
        <v>2540.0176594628101</v>
      </c>
      <c r="L160">
        <f t="shared" si="7"/>
        <v>2548.0176594628101</v>
      </c>
      <c r="O160">
        <v>1718.21096851064</v>
      </c>
      <c r="P160">
        <f t="shared" si="8"/>
        <v>1713.21096851064</v>
      </c>
      <c r="Q160">
        <v>1713.21096851064</v>
      </c>
    </row>
    <row r="161" spans="4:17">
      <c r="D161" s="4"/>
      <c r="J161">
        <v>2544.8955864193299</v>
      </c>
      <c r="K161">
        <f t="shared" si="6"/>
        <v>2541.8955864193299</v>
      </c>
      <c r="L161">
        <f t="shared" si="7"/>
        <v>2549.8955864193299</v>
      </c>
      <c r="O161">
        <v>1718.01925613874</v>
      </c>
      <c r="P161">
        <f t="shared" si="8"/>
        <v>1713.01925613874</v>
      </c>
      <c r="Q161">
        <v>1713.01925613874</v>
      </c>
    </row>
    <row r="162" spans="4:17">
      <c r="D162" s="4"/>
      <c r="J162">
        <v>2543.5590438106401</v>
      </c>
      <c r="K162">
        <f t="shared" si="6"/>
        <v>2540.5590438106401</v>
      </c>
      <c r="L162">
        <f t="shared" si="7"/>
        <v>2548.5590438106401</v>
      </c>
      <c r="O162">
        <v>1715.81481710764</v>
      </c>
      <c r="P162">
        <f t="shared" si="8"/>
        <v>1710.81481710764</v>
      </c>
      <c r="Q162">
        <v>1710.81481710764</v>
      </c>
    </row>
    <row r="163" spans="4:17">
      <c r="D163" s="4"/>
      <c r="J163">
        <v>2544.5487620715098</v>
      </c>
      <c r="K163">
        <f t="shared" si="6"/>
        <v>2541.5487620715098</v>
      </c>
      <c r="L163">
        <f t="shared" si="7"/>
        <v>2549.5487620715098</v>
      </c>
      <c r="O163">
        <v>1706.46037414583</v>
      </c>
      <c r="P163">
        <f t="shared" si="8"/>
        <v>1701.46037414583</v>
      </c>
      <c r="Q163">
        <v>1701.46037414583</v>
      </c>
    </row>
    <row r="164" spans="4:17">
      <c r="D164" s="4"/>
      <c r="J164">
        <v>2543.21221946281</v>
      </c>
      <c r="K164">
        <f t="shared" si="6"/>
        <v>2540.21221946281</v>
      </c>
      <c r="L164">
        <f t="shared" si="7"/>
        <v>2548.21221946281</v>
      </c>
      <c r="O164">
        <v>1704.3089146925099</v>
      </c>
      <c r="P164">
        <f t="shared" si="8"/>
        <v>1699.3089146925099</v>
      </c>
      <c r="Q164">
        <v>1699.3089146925099</v>
      </c>
    </row>
    <row r="165" spans="4:17">
      <c r="D165" s="4"/>
      <c r="J165">
        <v>2546.4416893370999</v>
      </c>
      <c r="K165">
        <f t="shared" si="6"/>
        <v>2543.4416893370999</v>
      </c>
      <c r="L165">
        <f t="shared" si="7"/>
        <v>2551.4416893370999</v>
      </c>
      <c r="O165">
        <v>1704.9028369175201</v>
      </c>
      <c r="P165">
        <f t="shared" si="8"/>
        <v>1699.9028369175201</v>
      </c>
      <c r="Q165">
        <v>1699.9028369175201</v>
      </c>
    </row>
    <row r="166" spans="4:17">
      <c r="D166" s="4"/>
      <c r="J166">
        <v>2547.3349737672802</v>
      </c>
      <c r="K166">
        <f t="shared" si="6"/>
        <v>2544.3349737672802</v>
      </c>
      <c r="L166">
        <f t="shared" si="7"/>
        <v>2552.3349737672802</v>
      </c>
      <c r="O166">
        <v>1714.70271429794</v>
      </c>
      <c r="P166">
        <f t="shared" si="8"/>
        <v>1709.70271429794</v>
      </c>
      <c r="Q166">
        <v>1709.70271429794</v>
      </c>
    </row>
    <row r="167" spans="4:17">
      <c r="D167" s="4"/>
      <c r="J167">
        <v>2546.9349400413198</v>
      </c>
      <c r="K167">
        <f t="shared" si="6"/>
        <v>2543.9349400413198</v>
      </c>
      <c r="L167">
        <f t="shared" si="7"/>
        <v>2551.9349400413198</v>
      </c>
      <c r="O167">
        <v>1718.26440359716</v>
      </c>
      <c r="P167">
        <f t="shared" si="8"/>
        <v>1713.26440359716</v>
      </c>
      <c r="Q167">
        <v>1713.26440359716</v>
      </c>
    </row>
    <row r="168" spans="4:17">
      <c r="D168" s="4"/>
      <c r="J168">
        <v>2557.8094463298899</v>
      </c>
      <c r="K168">
        <f t="shared" si="6"/>
        <v>2554.8094463298899</v>
      </c>
      <c r="L168">
        <f t="shared" si="7"/>
        <v>2562.8094463298899</v>
      </c>
      <c r="O168">
        <v>1728.2540556301101</v>
      </c>
      <c r="P168">
        <f t="shared" si="8"/>
        <v>1723.2540556301101</v>
      </c>
      <c r="Q168">
        <v>1723.2540556301101</v>
      </c>
    </row>
    <row r="169" spans="4:17">
      <c r="D169" s="4"/>
      <c r="J169">
        <v>2560.06687564924</v>
      </c>
      <c r="K169">
        <f t="shared" si="6"/>
        <v>2557.06687564924</v>
      </c>
      <c r="L169">
        <f t="shared" si="7"/>
        <v>2565.06687564924</v>
      </c>
      <c r="O169">
        <v>1725.3999915648101</v>
      </c>
      <c r="P169">
        <f t="shared" si="8"/>
        <v>1720.3999915648101</v>
      </c>
      <c r="Q169">
        <v>1720.3999915648101</v>
      </c>
    </row>
    <row r="170" spans="4:17">
      <c r="D170" s="4"/>
      <c r="J170">
        <v>2557.2025121466199</v>
      </c>
      <c r="K170">
        <f t="shared" si="6"/>
        <v>2554.2025121466199</v>
      </c>
      <c r="L170">
        <f t="shared" si="7"/>
        <v>2562.2025121466199</v>
      </c>
      <c r="O170">
        <v>1731.05741517756</v>
      </c>
      <c r="P170">
        <f t="shared" si="8"/>
        <v>1726.05741517756</v>
      </c>
      <c r="Q170">
        <v>1726.05741517756</v>
      </c>
    </row>
    <row r="171" spans="4:17">
      <c r="D171" s="4"/>
      <c r="J171">
        <v>2553.9223871745198</v>
      </c>
      <c r="K171">
        <f t="shared" si="6"/>
        <v>2550.9223871745198</v>
      </c>
      <c r="L171">
        <f t="shared" si="7"/>
        <v>2558.9223871745198</v>
      </c>
      <c r="O171">
        <v>1735</v>
      </c>
      <c r="P171">
        <f t="shared" si="8"/>
        <v>1730</v>
      </c>
      <c r="Q171">
        <v>1730</v>
      </c>
    </row>
    <row r="172" spans="4:17">
      <c r="D172" s="4"/>
      <c r="J172">
        <v>2551.92059149738</v>
      </c>
      <c r="K172">
        <f t="shared" si="6"/>
        <v>2548.92059149738</v>
      </c>
      <c r="L172">
        <f t="shared" si="7"/>
        <v>2556.92059149738</v>
      </c>
      <c r="O172">
        <v>1735</v>
      </c>
      <c r="P172">
        <f t="shared" si="8"/>
        <v>1730</v>
      </c>
      <c r="Q172">
        <v>1730</v>
      </c>
    </row>
    <row r="173" spans="4:17">
      <c r="D173" s="4"/>
      <c r="J173">
        <v>2550.2263023256801</v>
      </c>
      <c r="K173">
        <f t="shared" si="6"/>
        <v>2547.2263023256801</v>
      </c>
      <c r="L173">
        <f t="shared" si="7"/>
        <v>2555.2263023256801</v>
      </c>
      <c r="O173">
        <v>1735</v>
      </c>
      <c r="P173">
        <f t="shared" si="8"/>
        <v>1730</v>
      </c>
      <c r="Q173">
        <v>1730</v>
      </c>
    </row>
    <row r="174" spans="4:17">
      <c r="D174" s="4"/>
      <c r="J174">
        <v>2548.5683432972601</v>
      </c>
      <c r="K174">
        <f t="shared" si="6"/>
        <v>2545.5683432972601</v>
      </c>
      <c r="L174">
        <f t="shared" si="7"/>
        <v>2553.5683432972601</v>
      </c>
      <c r="O174">
        <v>1735</v>
      </c>
      <c r="P174">
        <f t="shared" si="8"/>
        <v>1730</v>
      </c>
      <c r="Q174">
        <v>1730</v>
      </c>
    </row>
    <row r="175" spans="4:17">
      <c r="D175" s="4"/>
      <c r="J175">
        <v>2543.2903143529302</v>
      </c>
      <c r="K175">
        <f t="shared" si="6"/>
        <v>2540.2903143529302</v>
      </c>
      <c r="L175">
        <f t="shared" si="7"/>
        <v>2548.2903143529302</v>
      </c>
      <c r="O175">
        <v>1726.23803773805</v>
      </c>
      <c r="P175">
        <f t="shared" si="8"/>
        <v>1721.23803773805</v>
      </c>
      <c r="Q175">
        <v>1721.23803773805</v>
      </c>
    </row>
    <row r="176" spans="4:17">
      <c r="D176" s="4"/>
      <c r="J176">
        <v>2543.54408826597</v>
      </c>
      <c r="K176">
        <f t="shared" si="6"/>
        <v>2540.54408826597</v>
      </c>
      <c r="L176">
        <f t="shared" si="7"/>
        <v>2548.54408826597</v>
      </c>
      <c r="O176">
        <v>1718.5621252215701</v>
      </c>
      <c r="P176">
        <f t="shared" si="8"/>
        <v>1713.5621252215701</v>
      </c>
      <c r="Q176">
        <v>1713.5621252215701</v>
      </c>
    </row>
    <row r="177" spans="4:17">
      <c r="D177" s="4"/>
      <c r="J177">
        <v>2543.7978621790198</v>
      </c>
      <c r="K177">
        <f t="shared" si="6"/>
        <v>2540.7978621790198</v>
      </c>
      <c r="L177">
        <f t="shared" si="7"/>
        <v>2548.7978621790198</v>
      </c>
      <c r="O177">
        <v>1708.0659553155699</v>
      </c>
      <c r="P177">
        <f t="shared" si="8"/>
        <v>1703.0659553155699</v>
      </c>
      <c r="Q177">
        <v>1703.0659553155699</v>
      </c>
    </row>
    <row r="178" spans="4:17">
      <c r="D178" s="4"/>
      <c r="J178">
        <v>2544.0516360920601</v>
      </c>
      <c r="K178">
        <f t="shared" si="6"/>
        <v>2541.0516360920601</v>
      </c>
      <c r="L178">
        <f t="shared" si="7"/>
        <v>2549.0516360920601</v>
      </c>
      <c r="O178">
        <v>1705.3125188471299</v>
      </c>
      <c r="P178">
        <f t="shared" si="8"/>
        <v>1700.3125188471299</v>
      </c>
      <c r="Q178">
        <v>1700.3125188471299</v>
      </c>
    </row>
    <row r="179" spans="4:17">
      <c r="D179" s="4"/>
      <c r="J179">
        <v>2542.22543937101</v>
      </c>
      <c r="K179">
        <f t="shared" si="6"/>
        <v>2539.22543937101</v>
      </c>
      <c r="L179">
        <f t="shared" si="7"/>
        <v>2547.22543937101</v>
      </c>
      <c r="O179">
        <v>1710.4570243778501</v>
      </c>
      <c r="P179">
        <f t="shared" si="8"/>
        <v>1705.4570243778501</v>
      </c>
      <c r="Q179">
        <v>1705.4570243778501</v>
      </c>
    </row>
    <row r="180" spans="4:17">
      <c r="D180" s="4"/>
      <c r="J180">
        <v>2542.7379388832001</v>
      </c>
      <c r="K180">
        <f t="shared" si="6"/>
        <v>2539.7379388832001</v>
      </c>
      <c r="L180">
        <f t="shared" si="7"/>
        <v>2547.7379388832001</v>
      </c>
      <c r="O180">
        <v>1708.2516716792099</v>
      </c>
      <c r="P180">
        <f t="shared" si="8"/>
        <v>1703.2516716792099</v>
      </c>
      <c r="Q180">
        <v>1703.2516716792099</v>
      </c>
    </row>
    <row r="181" spans="4:17">
      <c r="D181" s="4"/>
      <c r="J181">
        <v>2543.24801870076</v>
      </c>
      <c r="K181">
        <f t="shared" si="6"/>
        <v>2540.24801870076</v>
      </c>
      <c r="L181">
        <f t="shared" si="7"/>
        <v>2548.24801870076</v>
      </c>
      <c r="O181">
        <v>1705.8961988471301</v>
      </c>
      <c r="P181">
        <f t="shared" si="8"/>
        <v>1700.8961988471301</v>
      </c>
      <c r="Q181">
        <v>1700.8961988471301</v>
      </c>
    </row>
    <row r="182" spans="4:17">
      <c r="D182" s="4"/>
      <c r="J182">
        <v>2546.5997928218599</v>
      </c>
      <c r="K182">
        <f t="shared" si="6"/>
        <v>2543.5997928218599</v>
      </c>
      <c r="L182">
        <f t="shared" si="7"/>
        <v>2551.5997928218599</v>
      </c>
      <c r="O182">
        <v>1705.06445484713</v>
      </c>
      <c r="P182">
        <f t="shared" si="8"/>
        <v>1700.06445484713</v>
      </c>
      <c r="Q182">
        <v>1700.06445484713</v>
      </c>
    </row>
    <row r="183" spans="4:17">
      <c r="D183" s="4"/>
      <c r="J183">
        <v>2547.6074357775301</v>
      </c>
      <c r="K183">
        <f t="shared" si="6"/>
        <v>2544.6074357775301</v>
      </c>
      <c r="L183">
        <f t="shared" si="7"/>
        <v>2552.6074357775301</v>
      </c>
      <c r="O183">
        <v>1712.5805366776999</v>
      </c>
      <c r="P183">
        <f t="shared" si="8"/>
        <v>1707.5805366776999</v>
      </c>
      <c r="Q183">
        <v>1707.5805366776999</v>
      </c>
    </row>
    <row r="184" spans="4:17">
      <c r="D184" s="4"/>
      <c r="J184">
        <v>2548.97807942692</v>
      </c>
      <c r="K184">
        <f t="shared" si="6"/>
        <v>2545.97807942692</v>
      </c>
      <c r="L184">
        <f t="shared" si="7"/>
        <v>2553.97807942692</v>
      </c>
      <c r="O184">
        <v>1709.2951703108599</v>
      </c>
      <c r="P184">
        <f t="shared" si="8"/>
        <v>1704.2951703108599</v>
      </c>
      <c r="Q184">
        <v>1704.2951703108599</v>
      </c>
    </row>
    <row r="185" spans="4:17">
      <c r="D185" s="4"/>
      <c r="J185">
        <v>2550.8662140388701</v>
      </c>
      <c r="K185">
        <f t="shared" si="6"/>
        <v>2547.8662140388701</v>
      </c>
      <c r="L185">
        <f t="shared" si="7"/>
        <v>2555.8662140388701</v>
      </c>
      <c r="O185">
        <v>1717.03062856475</v>
      </c>
      <c r="P185">
        <f t="shared" si="8"/>
        <v>1712.03062856475</v>
      </c>
      <c r="Q185">
        <v>1712.03062856475</v>
      </c>
    </row>
    <row r="186" spans="4:17">
      <c r="D186" s="4"/>
      <c r="J186">
        <v>2554.25333169858</v>
      </c>
      <c r="K186">
        <f t="shared" si="6"/>
        <v>2551.25333169858</v>
      </c>
      <c r="L186">
        <f t="shared" si="7"/>
        <v>2559.25333169858</v>
      </c>
      <c r="O186">
        <v>1719.9446631144399</v>
      </c>
      <c r="P186">
        <f t="shared" si="8"/>
        <v>1714.9446631144399</v>
      </c>
      <c r="Q186">
        <v>1714.9446631144399</v>
      </c>
    </row>
    <row r="187" spans="4:17">
      <c r="D187" s="4"/>
      <c r="J187">
        <v>2557.5250385301101</v>
      </c>
      <c r="K187">
        <f t="shared" si="6"/>
        <v>2554.5250385301101</v>
      </c>
      <c r="L187">
        <f t="shared" si="7"/>
        <v>2562.5250385301101</v>
      </c>
      <c r="O187">
        <v>1722.1859260009401</v>
      </c>
      <c r="P187">
        <f t="shared" si="8"/>
        <v>1717.1859260009401</v>
      </c>
      <c r="Q187">
        <v>1717.1859260009401</v>
      </c>
    </row>
    <row r="188" spans="4:17">
      <c r="D188" s="4"/>
      <c r="J188">
        <v>2566.0549326586902</v>
      </c>
      <c r="K188">
        <f t="shared" si="6"/>
        <v>2563.0549326586902</v>
      </c>
      <c r="L188">
        <f t="shared" si="7"/>
        <v>2571.0549326586902</v>
      </c>
      <c r="O188">
        <v>1723.5952698975</v>
      </c>
      <c r="P188">
        <f t="shared" si="8"/>
        <v>1718.5952698975</v>
      </c>
      <c r="Q188">
        <v>1718.5952698975</v>
      </c>
    </row>
    <row r="189" spans="4:17">
      <c r="D189" s="4"/>
      <c r="J189">
        <v>2563.64326043243</v>
      </c>
      <c r="K189">
        <f t="shared" si="6"/>
        <v>2560.64326043243</v>
      </c>
      <c r="L189">
        <f t="shared" si="7"/>
        <v>2568.64326043243</v>
      </c>
      <c r="O189">
        <v>1731.0476364512699</v>
      </c>
      <c r="P189">
        <f t="shared" si="8"/>
        <v>1726.0476364512699</v>
      </c>
      <c r="Q189">
        <v>1726.0476364512699</v>
      </c>
    </row>
    <row r="190" spans="4:17">
      <c r="D190" s="4"/>
      <c r="J190">
        <v>2560.33929031961</v>
      </c>
      <c r="K190">
        <f t="shared" si="6"/>
        <v>2557.33929031961</v>
      </c>
      <c r="L190">
        <f t="shared" si="7"/>
        <v>2565.33929031961</v>
      </c>
      <c r="O190">
        <v>1735</v>
      </c>
      <c r="P190">
        <f t="shared" si="8"/>
        <v>1730</v>
      </c>
      <c r="Q190">
        <v>1730</v>
      </c>
    </row>
    <row r="191" spans="4:17">
      <c r="D191" s="4"/>
      <c r="J191">
        <v>2558.8867872562901</v>
      </c>
      <c r="K191">
        <f t="shared" si="6"/>
        <v>2555.8867872562901</v>
      </c>
      <c r="L191">
        <f t="shared" si="7"/>
        <v>2563.8867872562901</v>
      </c>
      <c r="O191">
        <v>1735</v>
      </c>
      <c r="P191">
        <f t="shared" si="8"/>
        <v>1730</v>
      </c>
      <c r="Q191">
        <v>1730</v>
      </c>
    </row>
    <row r="192" spans="4:17">
      <c r="D192" s="4"/>
      <c r="J192">
        <v>2556.7280082382999</v>
      </c>
      <c r="K192">
        <f t="shared" si="6"/>
        <v>2553.7280082382999</v>
      </c>
      <c r="L192">
        <f t="shared" si="7"/>
        <v>2561.7280082382999</v>
      </c>
      <c r="O192">
        <v>1735</v>
      </c>
      <c r="P192">
        <f t="shared" si="8"/>
        <v>1730</v>
      </c>
      <c r="Q192">
        <v>1730</v>
      </c>
    </row>
    <row r="193" spans="4:17">
      <c r="D193" s="4"/>
      <c r="J193">
        <v>2555.0537800942798</v>
      </c>
      <c r="K193">
        <f t="shared" si="6"/>
        <v>2552.0537800942798</v>
      </c>
      <c r="L193">
        <f t="shared" si="7"/>
        <v>2560.0537800942798</v>
      </c>
      <c r="O193">
        <v>1735</v>
      </c>
      <c r="P193">
        <f t="shared" si="8"/>
        <v>1730</v>
      </c>
      <c r="Q193">
        <v>1730</v>
      </c>
    </row>
    <row r="194" spans="4:17">
      <c r="D194" s="4"/>
      <c r="J194">
        <v>2553.6186258462399</v>
      </c>
      <c r="K194">
        <f t="shared" si="6"/>
        <v>2550.6186258462399</v>
      </c>
      <c r="L194">
        <f t="shared" si="7"/>
        <v>2558.6186258462399</v>
      </c>
      <c r="O194">
        <v>1735</v>
      </c>
      <c r="P194">
        <f t="shared" si="8"/>
        <v>1730</v>
      </c>
      <c r="Q194">
        <v>1730</v>
      </c>
    </row>
    <row r="195" spans="4:17">
      <c r="D195" s="4"/>
      <c r="J195">
        <v>2548.3143728137702</v>
      </c>
      <c r="K195">
        <f t="shared" ref="K195:K201" si="9">J195-3</f>
        <v>2545.3143728137702</v>
      </c>
      <c r="L195">
        <f t="shared" ref="L195:L201" si="10">J195+5</f>
        <v>2553.3143728137702</v>
      </c>
      <c r="O195">
        <v>1725.4735808547</v>
      </c>
      <c r="P195">
        <f t="shared" ref="P195:P201" si="11">O195-5</f>
        <v>1720.4735808547</v>
      </c>
      <c r="Q195">
        <v>1720.4735808547</v>
      </c>
    </row>
    <row r="196" spans="4:17">
      <c r="D196" s="4"/>
      <c r="J196">
        <v>2546.1453196389598</v>
      </c>
      <c r="K196">
        <f t="shared" si="9"/>
        <v>2543.1453196389598</v>
      </c>
      <c r="L196">
        <f t="shared" si="10"/>
        <v>2551.1453196389598</v>
      </c>
      <c r="O196">
        <v>1726.11732437967</v>
      </c>
      <c r="P196">
        <f t="shared" si="11"/>
        <v>1721.11732437967</v>
      </c>
      <c r="Q196">
        <v>1721.11732437967</v>
      </c>
    </row>
    <row r="197" spans="4:17">
      <c r="D197" s="4"/>
      <c r="J197">
        <v>2543.88005933864</v>
      </c>
      <c r="K197">
        <f t="shared" si="9"/>
        <v>2540.88005933864</v>
      </c>
      <c r="L197">
        <f t="shared" si="10"/>
        <v>2548.88005933864</v>
      </c>
      <c r="O197">
        <v>1723.2183185561901</v>
      </c>
      <c r="P197">
        <f t="shared" si="11"/>
        <v>1718.2183185561901</v>
      </c>
      <c r="Q197">
        <v>1718.2183185561901</v>
      </c>
    </row>
    <row r="198" spans="4:17">
      <c r="D198" s="4"/>
      <c r="J198">
        <v>2541.5782831679699</v>
      </c>
      <c r="K198">
        <f t="shared" si="9"/>
        <v>2538.5782831679699</v>
      </c>
      <c r="L198">
        <f t="shared" si="10"/>
        <v>2546.5782831679699</v>
      </c>
      <c r="O198">
        <v>1720.05018298198</v>
      </c>
      <c r="P198">
        <f t="shared" si="11"/>
        <v>1715.05018298198</v>
      </c>
      <c r="Q198">
        <v>1715.05018298198</v>
      </c>
    </row>
    <row r="199" spans="4:17">
      <c r="D199" s="4"/>
      <c r="J199">
        <v>2542.81666713706</v>
      </c>
      <c r="K199">
        <f t="shared" si="9"/>
        <v>2539.81666713706</v>
      </c>
      <c r="L199">
        <f t="shared" si="10"/>
        <v>2547.81666713706</v>
      </c>
      <c r="O199">
        <v>1711.33176316714</v>
      </c>
      <c r="P199">
        <f t="shared" si="11"/>
        <v>1706.33176316714</v>
      </c>
      <c r="Q199">
        <v>1706.33176316714</v>
      </c>
    </row>
    <row r="200" spans="4:17">
      <c r="D200" s="4"/>
      <c r="J200">
        <v>2544.0407828169</v>
      </c>
      <c r="K200">
        <f t="shared" si="9"/>
        <v>2541.0407828169</v>
      </c>
      <c r="L200">
        <f t="shared" si="10"/>
        <v>2549.0407828169</v>
      </c>
      <c r="O200">
        <v>1698.43364746219</v>
      </c>
      <c r="P200">
        <f t="shared" si="11"/>
        <v>1693.43364746219</v>
      </c>
      <c r="Q200">
        <v>1693.43364746219</v>
      </c>
    </row>
    <row r="201" spans="4:17">
      <c r="D201" s="4"/>
      <c r="J201">
        <v>2541.5653444487598</v>
      </c>
      <c r="K201">
        <f t="shared" si="9"/>
        <v>2538.5653444487598</v>
      </c>
      <c r="L201">
        <f t="shared" si="10"/>
        <v>2546.5653444487598</v>
      </c>
      <c r="O201">
        <v>1708.16299981869</v>
      </c>
      <c r="P201">
        <f t="shared" si="11"/>
        <v>1703.16299981869</v>
      </c>
      <c r="Q201">
        <v>1703.16299981869</v>
      </c>
    </row>
    <row r="202" spans="4:17">
      <c r="D202" s="4"/>
    </row>
    <row r="203" spans="4:17">
      <c r="D203" s="4"/>
    </row>
    <row r="204" spans="4:17">
      <c r="D204" s="4"/>
    </row>
    <row r="205" spans="4:17">
      <c r="D205" s="4"/>
    </row>
    <row r="206" spans="4:17">
      <c r="D206" s="4"/>
    </row>
    <row r="207" spans="4:17">
      <c r="D207" s="4"/>
    </row>
    <row r="208" spans="4:17">
      <c r="D208" s="4"/>
    </row>
    <row r="209" spans="4:4">
      <c r="D209" s="4"/>
    </row>
    <row r="210" spans="4:4">
      <c r="D210" s="4"/>
    </row>
    <row r="211" spans="4:4">
      <c r="D211" s="4"/>
    </row>
    <row r="212" spans="4:4">
      <c r="D212" s="4"/>
    </row>
    <row r="213" spans="4:4">
      <c r="D213" s="4"/>
    </row>
    <row r="214" spans="4:4">
      <c r="D214" s="4"/>
    </row>
    <row r="215" spans="4:4">
      <c r="D215" s="4"/>
    </row>
    <row r="216" spans="4:4">
      <c r="D216" s="4"/>
    </row>
    <row r="217" spans="4:4">
      <c r="D217" s="4"/>
    </row>
    <row r="218" spans="4:4">
      <c r="D218" s="4"/>
    </row>
    <row r="219" spans="4:4">
      <c r="D219" s="4"/>
    </row>
    <row r="220" spans="4:4">
      <c r="D220" s="4"/>
    </row>
    <row r="221" spans="4:4">
      <c r="D221" s="4"/>
    </row>
    <row r="222" spans="4:4">
      <c r="D222" s="4"/>
    </row>
    <row r="223" spans="4:4">
      <c r="D223" s="4"/>
    </row>
    <row r="224" spans="4:4">
      <c r="D224" s="4"/>
    </row>
    <row r="225" spans="4:4">
      <c r="D225" s="4"/>
    </row>
    <row r="226" spans="4:4">
      <c r="D226" s="4"/>
    </row>
    <row r="227" spans="4:4">
      <c r="D227" s="4"/>
    </row>
    <row r="228" spans="4:4">
      <c r="D228" s="4"/>
    </row>
    <row r="229" spans="4:4">
      <c r="D229" s="4"/>
    </row>
    <row r="230" spans="4:4">
      <c r="D230" s="4"/>
    </row>
    <row r="231" spans="4:4">
      <c r="D231" s="4"/>
    </row>
    <row r="232" spans="4:4">
      <c r="D232" s="4"/>
    </row>
    <row r="233" spans="4:4">
      <c r="D233" s="4"/>
    </row>
    <row r="234" spans="4:4">
      <c r="D234" s="4"/>
    </row>
    <row r="235" spans="4:4">
      <c r="D235" s="4"/>
    </row>
    <row r="236" spans="4:4">
      <c r="D236" s="4"/>
    </row>
    <row r="237" spans="4:4">
      <c r="D237" s="4"/>
    </row>
    <row r="238" spans="4:4">
      <c r="D238" s="4"/>
    </row>
    <row r="239" spans="4:4">
      <c r="D239" s="4"/>
    </row>
    <row r="240" spans="4:4">
      <c r="D240" s="4"/>
    </row>
    <row r="241" spans="4:4">
      <c r="D241" s="4"/>
    </row>
    <row r="242" spans="4:4">
      <c r="D242" s="4"/>
    </row>
    <row r="243" spans="4:4">
      <c r="D243" s="4"/>
    </row>
    <row r="244" spans="4:4">
      <c r="D244" s="4"/>
    </row>
    <row r="245" spans="4:4">
      <c r="D245" s="4"/>
    </row>
    <row r="246" spans="4:4">
      <c r="D246" s="4"/>
    </row>
    <row r="247" spans="4:4">
      <c r="D247" s="4"/>
    </row>
    <row r="248" spans="4:4">
      <c r="D248" s="4"/>
    </row>
    <row r="249" spans="4:4">
      <c r="D249" s="4"/>
    </row>
    <row r="250" spans="4:4">
      <c r="D250" s="4"/>
    </row>
    <row r="251" spans="4:4">
      <c r="D251" s="4"/>
    </row>
    <row r="252" spans="4:4">
      <c r="D252" s="4"/>
    </row>
    <row r="253" spans="4:4">
      <c r="D253" s="4"/>
    </row>
    <row r="254" spans="4:4">
      <c r="D254" s="4"/>
    </row>
    <row r="255" spans="4:4">
      <c r="D255" s="4"/>
    </row>
    <row r="256" spans="4:4">
      <c r="D256" s="4"/>
    </row>
    <row r="257" spans="4:4">
      <c r="D257" s="4"/>
    </row>
    <row r="258" spans="4:4">
      <c r="D258" s="4"/>
    </row>
    <row r="259" spans="4:4">
      <c r="D259" s="4"/>
    </row>
    <row r="260" spans="4:4">
      <c r="D260" s="4"/>
    </row>
    <row r="261" spans="4:4">
      <c r="D261" s="4"/>
    </row>
    <row r="262" spans="4:4">
      <c r="D262" s="4"/>
    </row>
    <row r="263" spans="4:4">
      <c r="D263" s="4"/>
    </row>
    <row r="264" spans="4:4">
      <c r="D264" s="4"/>
    </row>
    <row r="265" spans="4:4">
      <c r="D265" s="4"/>
    </row>
    <row r="266" spans="4:4">
      <c r="D266" s="4"/>
    </row>
    <row r="267" spans="4:4">
      <c r="D267" s="4"/>
    </row>
    <row r="268" spans="4:4">
      <c r="D268" s="4"/>
    </row>
    <row r="269" spans="4:4">
      <c r="D269" s="4"/>
    </row>
    <row r="270" spans="4:4">
      <c r="D270" s="4"/>
    </row>
    <row r="271" spans="4:4">
      <c r="D271" s="4"/>
    </row>
    <row r="272" spans="4:4">
      <c r="D272" s="4"/>
    </row>
    <row r="273" spans="4:4">
      <c r="D273" s="4"/>
    </row>
    <row r="274" spans="4:4">
      <c r="D274" s="4"/>
    </row>
    <row r="275" spans="4:4">
      <c r="D275" s="4"/>
    </row>
    <row r="276" spans="4:4">
      <c r="D276" s="4"/>
    </row>
    <row r="277" spans="4:4">
      <c r="D277" s="4"/>
    </row>
    <row r="278" spans="4:4">
      <c r="D278" s="4"/>
    </row>
    <row r="279" spans="4:4">
      <c r="D279" s="4"/>
    </row>
    <row r="280" spans="4:4">
      <c r="D280" s="4"/>
    </row>
    <row r="281" spans="4:4">
      <c r="D281" s="4"/>
    </row>
    <row r="282" spans="4:4">
      <c r="D282" s="4"/>
    </row>
    <row r="283" spans="4:4">
      <c r="D283" s="4"/>
    </row>
    <row r="284" spans="4:4">
      <c r="D284" s="4"/>
    </row>
    <row r="285" spans="4:4">
      <c r="D285" s="4"/>
    </row>
    <row r="286" spans="4:4">
      <c r="D286" s="4"/>
    </row>
    <row r="287" spans="4:4">
      <c r="D287" s="4"/>
    </row>
    <row r="288" spans="4:4">
      <c r="D288" s="4"/>
    </row>
    <row r="289" spans="4:4">
      <c r="D289" s="4"/>
    </row>
    <row r="290" spans="4:4">
      <c r="D290" s="4"/>
    </row>
    <row r="291" spans="4:4">
      <c r="D291" s="4"/>
    </row>
    <row r="292" spans="4:4">
      <c r="D292" s="4"/>
    </row>
    <row r="293" spans="4:4">
      <c r="D293" s="4"/>
    </row>
    <row r="294" spans="4:4">
      <c r="D294" s="4"/>
    </row>
    <row r="295" spans="4:4">
      <c r="D295" s="4"/>
    </row>
    <row r="296" spans="4:4">
      <c r="D296" s="4"/>
    </row>
    <row r="297" spans="4:4">
      <c r="D297" s="4"/>
    </row>
    <row r="298" spans="4:4">
      <c r="D298" s="4"/>
    </row>
    <row r="299" spans="4:4">
      <c r="D299" s="4"/>
    </row>
    <row r="300" spans="4:4">
      <c r="D300" s="4"/>
    </row>
    <row r="301" spans="4:4">
      <c r="D301" s="4"/>
    </row>
    <row r="302" spans="4:4">
      <c r="D302" s="4"/>
    </row>
    <row r="303" spans="4:4">
      <c r="D303" s="4"/>
    </row>
    <row r="304" spans="4:4">
      <c r="D304" s="4"/>
    </row>
    <row r="305" spans="4:4">
      <c r="D305" s="4"/>
    </row>
    <row r="306" spans="4:4">
      <c r="D306" s="4"/>
    </row>
    <row r="307" spans="4:4">
      <c r="D307" s="4"/>
    </row>
    <row r="308" spans="4:4">
      <c r="D308" s="4"/>
    </row>
    <row r="309" spans="4:4">
      <c r="D309" s="4"/>
    </row>
    <row r="310" spans="4:4">
      <c r="D310" s="4"/>
    </row>
    <row r="311" spans="4:4">
      <c r="D311" s="4"/>
    </row>
    <row r="312" spans="4:4">
      <c r="D312" s="4"/>
    </row>
    <row r="313" spans="4:4">
      <c r="D313" s="4"/>
    </row>
    <row r="314" spans="4:4">
      <c r="D314" s="4"/>
    </row>
    <row r="315" spans="4:4">
      <c r="D315" s="4"/>
    </row>
    <row r="316" spans="4:4">
      <c r="D316" s="4"/>
    </row>
    <row r="317" spans="4:4">
      <c r="D317" s="4"/>
    </row>
    <row r="318" spans="4:4">
      <c r="D318" s="4"/>
    </row>
    <row r="319" spans="4:4">
      <c r="D319" s="4"/>
    </row>
    <row r="320" spans="4:4">
      <c r="D320" s="4"/>
    </row>
    <row r="321" spans="4:4">
      <c r="D321" s="4"/>
    </row>
    <row r="322" spans="4:4">
      <c r="D322" s="4"/>
    </row>
    <row r="323" spans="4:4">
      <c r="D323" s="4"/>
    </row>
    <row r="324" spans="4:4">
      <c r="D324" s="4"/>
    </row>
    <row r="325" spans="4:4">
      <c r="D325" s="4"/>
    </row>
    <row r="326" spans="4:4">
      <c r="D326" s="4"/>
    </row>
    <row r="327" spans="4:4">
      <c r="D327" s="4"/>
    </row>
    <row r="328" spans="4:4">
      <c r="D328" s="4"/>
    </row>
    <row r="329" spans="4:4">
      <c r="D329" s="4"/>
    </row>
    <row r="330" spans="4:4">
      <c r="D330" s="4"/>
    </row>
    <row r="331" spans="4:4">
      <c r="D331" s="4"/>
    </row>
    <row r="332" spans="4:4">
      <c r="D332" s="4"/>
    </row>
    <row r="333" spans="4:4">
      <c r="D333" s="4"/>
    </row>
    <row r="334" spans="4:4">
      <c r="D334" s="4"/>
    </row>
    <row r="335" spans="4:4">
      <c r="D335" s="4"/>
    </row>
    <row r="336" spans="4:4">
      <c r="D336" s="4"/>
    </row>
    <row r="337" spans="4:4">
      <c r="D337" s="4"/>
    </row>
    <row r="338" spans="4:4">
      <c r="D338" s="4"/>
    </row>
    <row r="339" spans="4:4">
      <c r="D339" s="4"/>
    </row>
    <row r="340" spans="4:4">
      <c r="D340" s="4"/>
    </row>
    <row r="341" spans="4:4">
      <c r="D341" s="4"/>
    </row>
    <row r="342" spans="4:4">
      <c r="D342" s="4"/>
    </row>
    <row r="343" spans="4:4">
      <c r="D343" s="4"/>
    </row>
    <row r="344" spans="4:4">
      <c r="D344" s="4"/>
    </row>
    <row r="345" spans="4:4">
      <c r="D345" s="4"/>
    </row>
    <row r="346" spans="4:4">
      <c r="D346" s="4"/>
    </row>
    <row r="347" spans="4:4">
      <c r="D347" s="4"/>
    </row>
    <row r="348" spans="4:4">
      <c r="D348" s="4"/>
    </row>
    <row r="349" spans="4:4">
      <c r="D349" s="4"/>
    </row>
    <row r="350" spans="4:4">
      <c r="D350" s="4"/>
    </row>
    <row r="351" spans="4:4">
      <c r="D351" s="4"/>
    </row>
    <row r="352" spans="4:4">
      <c r="D352" s="4"/>
    </row>
    <row r="353" spans="4:4">
      <c r="D353" s="4"/>
    </row>
    <row r="354" spans="4:4">
      <c r="D354" s="4"/>
    </row>
    <row r="355" spans="4:4">
      <c r="D355" s="4"/>
    </row>
    <row r="356" spans="4:4">
      <c r="D356" s="4"/>
    </row>
    <row r="357" spans="4:4">
      <c r="D357" s="4"/>
    </row>
    <row r="358" spans="4:4">
      <c r="D358" s="4"/>
    </row>
    <row r="359" spans="4:4">
      <c r="D359" s="4"/>
    </row>
    <row r="360" spans="4:4">
      <c r="D360" s="4"/>
    </row>
    <row r="361" spans="4:4">
      <c r="D361" s="4"/>
    </row>
    <row r="362" spans="4:4">
      <c r="D362" s="4"/>
    </row>
    <row r="363" spans="4:4">
      <c r="D363" s="4"/>
    </row>
    <row r="364" spans="4:4">
      <c r="D364" s="4"/>
    </row>
    <row r="365" spans="4:4">
      <c r="D365" s="4"/>
    </row>
    <row r="366" spans="4:4">
      <c r="D366" s="4"/>
    </row>
    <row r="367" spans="4:4">
      <c r="D367" s="4"/>
    </row>
    <row r="368" spans="4:4">
      <c r="D368" s="4"/>
    </row>
    <row r="369" spans="4:4">
      <c r="D369" s="4"/>
    </row>
    <row r="370" spans="4:4">
      <c r="D370" s="4"/>
    </row>
    <row r="371" spans="4:4">
      <c r="D371" s="4"/>
    </row>
    <row r="372" spans="4:4">
      <c r="D372" s="4"/>
    </row>
    <row r="373" spans="4:4">
      <c r="D373" s="4"/>
    </row>
    <row r="374" spans="4:4">
      <c r="D374" s="4"/>
    </row>
    <row r="375" spans="4:4">
      <c r="D375" s="4"/>
    </row>
    <row r="376" spans="4:4">
      <c r="D376" s="4"/>
    </row>
    <row r="377" spans="4:4">
      <c r="D377" s="4"/>
    </row>
    <row r="378" spans="4:4">
      <c r="D378" s="4"/>
    </row>
    <row r="379" spans="4:4">
      <c r="D379" s="4"/>
    </row>
    <row r="380" spans="4:4">
      <c r="D380" s="4"/>
    </row>
    <row r="381" spans="4:4">
      <c r="D381" s="4"/>
    </row>
    <row r="382" spans="4:4">
      <c r="D382" s="4"/>
    </row>
    <row r="383" spans="4:4">
      <c r="D383" s="4"/>
    </row>
    <row r="384" spans="4:4">
      <c r="D384" s="4"/>
    </row>
    <row r="385" spans="4:4">
      <c r="D385" s="4"/>
    </row>
    <row r="386" spans="4:4">
      <c r="D386" s="4"/>
    </row>
    <row r="387" spans="4:4">
      <c r="D387" s="4"/>
    </row>
    <row r="388" spans="4:4">
      <c r="D388" s="4"/>
    </row>
    <row r="389" spans="4:4">
      <c r="D389" s="4"/>
    </row>
    <row r="390" spans="4:4">
      <c r="D390" s="4"/>
    </row>
    <row r="391" spans="4:4">
      <c r="D391" s="4"/>
    </row>
    <row r="392" spans="4:4">
      <c r="D392" s="4"/>
    </row>
    <row r="393" spans="4:4">
      <c r="D393" s="4"/>
    </row>
    <row r="394" spans="4:4">
      <c r="D394" s="4"/>
    </row>
    <row r="395" spans="4:4">
      <c r="D395" s="4"/>
    </row>
    <row r="396" spans="4:4">
      <c r="D396" s="4"/>
    </row>
    <row r="397" spans="4:4">
      <c r="D397" s="4"/>
    </row>
    <row r="398" spans="4:4">
      <c r="D398" s="4"/>
    </row>
    <row r="399" spans="4:4">
      <c r="D399" s="4"/>
    </row>
    <row r="400" spans="4:4">
      <c r="D400" s="4"/>
    </row>
    <row r="401" spans="4:4">
      <c r="D401" s="4"/>
    </row>
    <row r="402" spans="4:4">
      <c r="D402" s="4"/>
    </row>
    <row r="403" spans="4:4">
      <c r="D403" s="4"/>
    </row>
    <row r="404" spans="4:4">
      <c r="D404" s="4"/>
    </row>
    <row r="405" spans="4:4">
      <c r="D405" s="4"/>
    </row>
    <row r="406" spans="4:4">
      <c r="D406" s="4"/>
    </row>
    <row r="407" spans="4:4">
      <c r="D407" s="4"/>
    </row>
    <row r="408" spans="4:4">
      <c r="D408" s="4"/>
    </row>
    <row r="409" spans="4:4">
      <c r="D409" s="4"/>
    </row>
    <row r="410" spans="4:4">
      <c r="D410" s="4"/>
    </row>
    <row r="411" spans="4:4">
      <c r="D411" s="4"/>
    </row>
    <row r="412" spans="4:4">
      <c r="D412" s="4"/>
    </row>
    <row r="413" spans="4:4">
      <c r="D413" s="4"/>
    </row>
    <row r="414" spans="4:4">
      <c r="D414" s="4"/>
    </row>
    <row r="415" spans="4:4">
      <c r="D415" s="4"/>
    </row>
    <row r="416" spans="4:4">
      <c r="D416" s="4"/>
    </row>
    <row r="417" spans="4:4">
      <c r="D417" s="4"/>
    </row>
    <row r="418" spans="4:4">
      <c r="D418" s="4"/>
    </row>
    <row r="419" spans="4:4">
      <c r="D419" s="4"/>
    </row>
    <row r="420" spans="4:4">
      <c r="D420" s="4"/>
    </row>
    <row r="421" spans="4:4">
      <c r="D421" s="4"/>
    </row>
    <row r="422" spans="4:4">
      <c r="D422" s="4"/>
    </row>
    <row r="423" spans="4:4">
      <c r="D423" s="4"/>
    </row>
    <row r="424" spans="4:4">
      <c r="D424" s="4"/>
    </row>
    <row r="425" spans="4:4">
      <c r="D425" s="4"/>
    </row>
    <row r="426" spans="4:4">
      <c r="D426" s="4"/>
    </row>
    <row r="427" spans="4:4">
      <c r="D427" s="4"/>
    </row>
    <row r="428" spans="4:4">
      <c r="D428" s="4"/>
    </row>
    <row r="429" spans="4:4">
      <c r="D429" s="4"/>
    </row>
    <row r="430" spans="4:4">
      <c r="D430" s="4"/>
    </row>
    <row r="431" spans="4:4">
      <c r="D431" s="4"/>
    </row>
    <row r="432" spans="4:4">
      <c r="D432" s="4"/>
    </row>
    <row r="433" spans="4:4">
      <c r="D433" s="4"/>
    </row>
    <row r="434" spans="4:4">
      <c r="D434" s="4"/>
    </row>
    <row r="435" spans="4:4">
      <c r="D435" s="4"/>
    </row>
    <row r="436" spans="4:4">
      <c r="D436" s="4"/>
    </row>
    <row r="437" spans="4:4">
      <c r="D437" s="4"/>
    </row>
    <row r="438" spans="4:4">
      <c r="D438" s="4"/>
    </row>
    <row r="439" spans="4:4">
      <c r="D439" s="4"/>
    </row>
    <row r="440" spans="4:4">
      <c r="D440" s="4"/>
    </row>
    <row r="441" spans="4:4">
      <c r="D441" s="4"/>
    </row>
    <row r="442" spans="4:4">
      <c r="D442" s="4"/>
    </row>
    <row r="443" spans="4:4">
      <c r="D443" s="4"/>
    </row>
    <row r="444" spans="4:4">
      <c r="D444" s="4"/>
    </row>
    <row r="445" spans="4:4">
      <c r="D445" s="4"/>
    </row>
    <row r="446" spans="4:4">
      <c r="D446" s="4"/>
    </row>
    <row r="447" spans="4:4">
      <c r="D447" s="4"/>
    </row>
    <row r="448" spans="4:4">
      <c r="D448" s="4"/>
    </row>
    <row r="449" spans="4:4">
      <c r="D449" s="4"/>
    </row>
    <row r="450" spans="4:4">
      <c r="D450" s="4"/>
    </row>
    <row r="451" spans="4:4">
      <c r="D451" s="4"/>
    </row>
    <row r="452" spans="4:4">
      <c r="D452" s="4"/>
    </row>
    <row r="453" spans="4:4">
      <c r="D453" s="4"/>
    </row>
    <row r="454" spans="4:4">
      <c r="D454" s="4"/>
    </row>
    <row r="455" spans="4:4">
      <c r="D455" s="4"/>
    </row>
    <row r="456" spans="4:4">
      <c r="D456" s="4"/>
    </row>
    <row r="457" spans="4:4">
      <c r="D457" s="4"/>
    </row>
    <row r="458" spans="4:4">
      <c r="D458" s="4"/>
    </row>
    <row r="459" spans="4:4">
      <c r="D459" s="4"/>
    </row>
    <row r="460" spans="4:4">
      <c r="D460" s="4"/>
    </row>
    <row r="461" spans="4:4">
      <c r="D461" s="4"/>
    </row>
    <row r="462" spans="4:4">
      <c r="D462" s="4"/>
    </row>
    <row r="463" spans="4:4">
      <c r="D463" s="4"/>
    </row>
    <row r="464" spans="4:4">
      <c r="D464" s="4"/>
    </row>
    <row r="465" spans="4:4">
      <c r="D465" s="4"/>
    </row>
    <row r="466" spans="4:4">
      <c r="D466" s="4"/>
    </row>
    <row r="467" spans="4:4">
      <c r="D467" s="4"/>
    </row>
    <row r="468" spans="4:4">
      <c r="D468" s="4"/>
    </row>
    <row r="469" spans="4:4">
      <c r="D469" s="4"/>
    </row>
    <row r="470" spans="4:4">
      <c r="D470" s="4"/>
    </row>
    <row r="471" spans="4:4">
      <c r="D471" s="4"/>
    </row>
    <row r="472" spans="4:4">
      <c r="D472" s="4"/>
    </row>
    <row r="473" spans="4:4">
      <c r="D473" s="4"/>
    </row>
    <row r="474" spans="4:4">
      <c r="D474" s="4"/>
    </row>
    <row r="475" spans="4:4">
      <c r="D475" s="4"/>
    </row>
    <row r="476" spans="4:4">
      <c r="D476" s="4"/>
    </row>
    <row r="477" spans="4:4">
      <c r="D477" s="4"/>
    </row>
    <row r="478" spans="4:4">
      <c r="D478" s="4"/>
    </row>
    <row r="479" spans="4:4">
      <c r="D479" s="4"/>
    </row>
    <row r="480" spans="4:4">
      <c r="D480" s="4"/>
    </row>
    <row r="481" spans="4:4">
      <c r="D481" s="4"/>
    </row>
    <row r="482" spans="4:4">
      <c r="D482" s="4"/>
    </row>
    <row r="483" spans="4:4">
      <c r="D483" s="4"/>
    </row>
    <row r="484" spans="4:4">
      <c r="D484" s="4"/>
    </row>
    <row r="485" spans="4:4">
      <c r="D485" s="4"/>
    </row>
    <row r="486" spans="4:4">
      <c r="D486" s="4"/>
    </row>
    <row r="487" spans="4:4">
      <c r="D487" s="4"/>
    </row>
    <row r="488" spans="4:4">
      <c r="D488" s="4"/>
    </row>
    <row r="489" spans="4:4">
      <c r="D489" s="4"/>
    </row>
    <row r="490" spans="4:4">
      <c r="D490" s="4"/>
    </row>
    <row r="491" spans="4:4">
      <c r="D491" s="4"/>
    </row>
    <row r="492" spans="4:4">
      <c r="D492" s="4"/>
    </row>
    <row r="493" spans="4:4">
      <c r="D493" s="4"/>
    </row>
    <row r="494" spans="4:4">
      <c r="D494" s="4"/>
    </row>
    <row r="495" spans="4:4">
      <c r="D495" s="4"/>
    </row>
    <row r="496" spans="4:4">
      <c r="D496" s="4"/>
    </row>
    <row r="497" spans="4:4">
      <c r="D497" s="4"/>
    </row>
    <row r="498" spans="4:4">
      <c r="D498" s="4"/>
    </row>
    <row r="499" spans="4:4">
      <c r="D499" s="4"/>
    </row>
    <row r="500" spans="4:4">
      <c r="D500" s="4"/>
    </row>
    <row r="501" spans="4:4">
      <c r="D501" s="4"/>
    </row>
    <row r="502" spans="4:4">
      <c r="D502" s="4"/>
    </row>
    <row r="503" spans="4:4">
      <c r="D503" s="4"/>
    </row>
    <row r="504" spans="4:4">
      <c r="D504" s="4"/>
    </row>
    <row r="505" spans="4:4">
      <c r="D505" s="4"/>
    </row>
    <row r="506" spans="4:4">
      <c r="D506" s="4"/>
    </row>
    <row r="507" spans="4:4">
      <c r="D507" s="4"/>
    </row>
    <row r="508" spans="4:4">
      <c r="D508" s="4"/>
    </row>
    <row r="509" spans="4:4">
      <c r="D509" s="4"/>
    </row>
    <row r="510" spans="4:4">
      <c r="D510" s="4"/>
    </row>
    <row r="511" spans="4:4">
      <c r="D511" s="4"/>
    </row>
    <row r="512" spans="4:4">
      <c r="D512" s="4"/>
    </row>
    <row r="513" spans="4:4">
      <c r="D513" s="4"/>
    </row>
    <row r="514" spans="4:4">
      <c r="D514" s="4"/>
    </row>
    <row r="515" spans="4:4">
      <c r="D515" s="4"/>
    </row>
    <row r="516" spans="4:4">
      <c r="D516" s="4"/>
    </row>
    <row r="517" spans="4:4">
      <c r="D517" s="4"/>
    </row>
    <row r="518" spans="4:4">
      <c r="D518" s="4"/>
    </row>
    <row r="519" spans="4:4">
      <c r="D519" s="4"/>
    </row>
    <row r="520" spans="4:4">
      <c r="D520" s="4"/>
    </row>
    <row r="521" spans="4:4">
      <c r="D521" s="4"/>
    </row>
    <row r="522" spans="4:4">
      <c r="D522" s="4"/>
    </row>
    <row r="523" spans="4:4">
      <c r="D523" s="4"/>
    </row>
    <row r="524" spans="4:4">
      <c r="D524" s="4"/>
    </row>
    <row r="525" spans="4:4">
      <c r="D525" s="4"/>
    </row>
    <row r="526" spans="4:4">
      <c r="D526" s="4"/>
    </row>
    <row r="527" spans="4:4">
      <c r="D527" s="4"/>
    </row>
    <row r="528" spans="4:4">
      <c r="D528" s="4"/>
    </row>
    <row r="529" spans="4:4">
      <c r="D529" s="4"/>
    </row>
    <row r="530" spans="4:4">
      <c r="D530" s="4"/>
    </row>
    <row r="531" spans="4:4">
      <c r="D531" s="4"/>
    </row>
    <row r="532" spans="4:4">
      <c r="D532" s="4"/>
    </row>
    <row r="533" spans="4:4">
      <c r="D533" s="4"/>
    </row>
    <row r="534" spans="4:4">
      <c r="D534" s="4"/>
    </row>
    <row r="535" spans="4:4">
      <c r="D535" s="4"/>
    </row>
    <row r="536" spans="4:4">
      <c r="D536" s="4"/>
    </row>
    <row r="537" spans="4:4">
      <c r="D537" s="4"/>
    </row>
    <row r="538" spans="4:4">
      <c r="D538" s="4"/>
    </row>
    <row r="539" spans="4:4">
      <c r="D539" s="4"/>
    </row>
    <row r="540" spans="4:4">
      <c r="D540" s="4"/>
    </row>
    <row r="541" spans="4:4">
      <c r="D541" s="4"/>
    </row>
    <row r="542" spans="4:4">
      <c r="D542" s="4"/>
    </row>
    <row r="543" spans="4:4">
      <c r="D543" s="4"/>
    </row>
    <row r="544" spans="4:4">
      <c r="D544" s="4"/>
    </row>
    <row r="545" spans="4:4">
      <c r="D545" s="4"/>
    </row>
    <row r="546" spans="4:4">
      <c r="D546" s="4"/>
    </row>
    <row r="547" spans="4:4">
      <c r="D547" s="4"/>
    </row>
    <row r="548" spans="4:4">
      <c r="D548" s="4"/>
    </row>
    <row r="549" spans="4:4">
      <c r="D549" s="4"/>
    </row>
    <row r="550" spans="4:4">
      <c r="D550" s="4"/>
    </row>
    <row r="551" spans="4:4">
      <c r="D551" s="4"/>
    </row>
    <row r="552" spans="4:4">
      <c r="D552" s="4"/>
    </row>
    <row r="553" spans="4:4">
      <c r="D553" s="4"/>
    </row>
    <row r="554" spans="4:4">
      <c r="D554" s="4"/>
    </row>
    <row r="555" spans="4:4">
      <c r="D555" s="4"/>
    </row>
    <row r="556" spans="4:4">
      <c r="D556" s="4"/>
    </row>
    <row r="557" spans="4:4">
      <c r="D557" s="4"/>
    </row>
    <row r="558" spans="4:4">
      <c r="D558" s="4"/>
    </row>
    <row r="559" spans="4:4">
      <c r="D559" s="4"/>
    </row>
    <row r="560" spans="4:4">
      <c r="D560" s="4"/>
    </row>
    <row r="561" spans="4:4">
      <c r="D561" s="4"/>
    </row>
    <row r="562" spans="4:4">
      <c r="D562" s="4"/>
    </row>
    <row r="563" spans="4:4">
      <c r="D563" s="4"/>
    </row>
    <row r="564" spans="4:4">
      <c r="D564" s="4"/>
    </row>
    <row r="565" spans="4:4">
      <c r="D565" s="4"/>
    </row>
    <row r="566" spans="4:4">
      <c r="D566" s="4"/>
    </row>
    <row r="567" spans="4:4">
      <c r="D567" s="4"/>
    </row>
    <row r="568" spans="4:4">
      <c r="D568" s="4"/>
    </row>
    <row r="569" spans="4:4">
      <c r="D569" s="4"/>
    </row>
    <row r="570" spans="4:4">
      <c r="D570" s="4"/>
    </row>
    <row r="571" spans="4:4">
      <c r="D571" s="4"/>
    </row>
    <row r="572" spans="4:4">
      <c r="D572" s="4"/>
    </row>
    <row r="573" spans="4:4">
      <c r="D573" s="4"/>
    </row>
    <row r="574" spans="4:4">
      <c r="D574" s="4"/>
    </row>
    <row r="575" spans="4:4">
      <c r="D575" s="4"/>
    </row>
    <row r="576" spans="4:4">
      <c r="D576" s="4"/>
    </row>
    <row r="577" spans="4:4">
      <c r="D577" s="4"/>
    </row>
    <row r="578" spans="4:4">
      <c r="D578" s="4"/>
    </row>
    <row r="579" spans="4:4">
      <c r="D579" s="4"/>
    </row>
    <row r="580" spans="4:4">
      <c r="D580" s="4"/>
    </row>
    <row r="581" spans="4:4">
      <c r="D581" s="4"/>
    </row>
    <row r="582" spans="4:4">
      <c r="D582" s="4"/>
    </row>
    <row r="583" spans="4:4">
      <c r="D583" s="4"/>
    </row>
    <row r="584" spans="4:4">
      <c r="D584" s="4"/>
    </row>
    <row r="585" spans="4:4">
      <c r="D585" s="4"/>
    </row>
    <row r="586" spans="4:4">
      <c r="D586" s="4"/>
    </row>
    <row r="587" spans="4:4">
      <c r="D587" s="4"/>
    </row>
    <row r="588" spans="4:4">
      <c r="D588" s="4"/>
    </row>
    <row r="589" spans="4:4">
      <c r="D589" s="4"/>
    </row>
    <row r="590" spans="4:4">
      <c r="D590" s="4"/>
    </row>
    <row r="591" spans="4:4">
      <c r="D591" s="4"/>
    </row>
    <row r="592" spans="4:4">
      <c r="D592" s="4"/>
    </row>
    <row r="593" spans="4:4">
      <c r="D593" s="4"/>
    </row>
    <row r="594" spans="4:4">
      <c r="D594" s="4"/>
    </row>
    <row r="595" spans="4:4">
      <c r="D595" s="4"/>
    </row>
    <row r="596" spans="4:4">
      <c r="D596" s="4"/>
    </row>
    <row r="597" spans="4:4">
      <c r="D597" s="4"/>
    </row>
    <row r="598" spans="4:4">
      <c r="D598" s="4"/>
    </row>
    <row r="599" spans="4:4">
      <c r="D599" s="4"/>
    </row>
    <row r="600" spans="4:4">
      <c r="D600" s="4"/>
    </row>
    <row r="601" spans="4:4">
      <c r="D601" s="4"/>
    </row>
    <row r="602" spans="4:4">
      <c r="D602" s="4"/>
    </row>
    <row r="603" spans="4:4">
      <c r="D603" s="4"/>
    </row>
    <row r="604" spans="4:4">
      <c r="D604" s="4"/>
    </row>
    <row r="605" spans="4:4">
      <c r="D605" s="4"/>
    </row>
    <row r="606" spans="4:4">
      <c r="D606" s="4"/>
    </row>
    <row r="607" spans="4:4">
      <c r="D607" s="4"/>
    </row>
    <row r="608" spans="4:4">
      <c r="D608" s="4"/>
    </row>
    <row r="609" spans="4:4">
      <c r="D609" s="4"/>
    </row>
    <row r="610" spans="4:4">
      <c r="D610" s="4"/>
    </row>
    <row r="611" spans="4:4">
      <c r="D611" s="4"/>
    </row>
    <row r="612" spans="4:4">
      <c r="D612" s="4"/>
    </row>
    <row r="613" spans="4:4">
      <c r="D613" s="4"/>
    </row>
    <row r="614" spans="4:4">
      <c r="D614" s="4"/>
    </row>
    <row r="615" spans="4:4">
      <c r="D615" s="4"/>
    </row>
    <row r="616" spans="4:4">
      <c r="D616" s="4"/>
    </row>
    <row r="617" spans="4:4">
      <c r="D617" s="4"/>
    </row>
    <row r="618" spans="4:4">
      <c r="D618" s="4"/>
    </row>
    <row r="619" spans="4:4">
      <c r="D619" s="4"/>
    </row>
    <row r="620" spans="4:4">
      <c r="D620" s="4"/>
    </row>
    <row r="621" spans="4:4">
      <c r="D621" s="4"/>
    </row>
    <row r="622" spans="4:4">
      <c r="D622" s="4"/>
    </row>
    <row r="623" spans="4:4">
      <c r="D623" s="4"/>
    </row>
    <row r="624" spans="4:4">
      <c r="D624" s="4"/>
    </row>
    <row r="625" spans="4:4">
      <c r="D625" s="4"/>
    </row>
    <row r="626" spans="4:4">
      <c r="D626" s="4"/>
    </row>
    <row r="627" spans="4:4">
      <c r="D627" s="4"/>
    </row>
    <row r="628" spans="4:4">
      <c r="D628" s="4"/>
    </row>
    <row r="629" spans="4:4">
      <c r="D629" s="4"/>
    </row>
    <row r="630" spans="4:4">
      <c r="D630" s="4"/>
    </row>
    <row r="631" spans="4:4">
      <c r="D631" s="4"/>
    </row>
    <row r="632" spans="4:4">
      <c r="D632" s="4"/>
    </row>
    <row r="633" spans="4:4">
      <c r="D633" s="4"/>
    </row>
    <row r="634" spans="4:4">
      <c r="D634" s="4"/>
    </row>
    <row r="635" spans="4:4">
      <c r="D635" s="4"/>
    </row>
    <row r="636" spans="4:4">
      <c r="D636" s="4"/>
    </row>
    <row r="637" spans="4:4">
      <c r="D637" s="4"/>
    </row>
    <row r="638" spans="4:4">
      <c r="D638" s="4"/>
    </row>
    <row r="639" spans="4:4">
      <c r="D639" s="4"/>
    </row>
    <row r="640" spans="4:4">
      <c r="D640" s="4"/>
    </row>
    <row r="641" spans="4:4">
      <c r="D641" s="4"/>
    </row>
    <row r="642" spans="4:4">
      <c r="D642" s="4"/>
    </row>
    <row r="643" spans="4:4">
      <c r="D643" s="4"/>
    </row>
    <row r="644" spans="4:4">
      <c r="D644" s="4"/>
    </row>
    <row r="645" spans="4:4">
      <c r="D645" s="4"/>
    </row>
    <row r="646" spans="4:4">
      <c r="D646" s="4"/>
    </row>
    <row r="647" spans="4:4">
      <c r="D647" s="4"/>
    </row>
    <row r="648" spans="4:4">
      <c r="D648" s="4"/>
    </row>
    <row r="649" spans="4:4">
      <c r="D649" s="4"/>
    </row>
    <row r="650" spans="4:4">
      <c r="D650" s="4"/>
    </row>
    <row r="651" spans="4:4">
      <c r="D651" s="4"/>
    </row>
    <row r="652" spans="4:4">
      <c r="D652" s="4"/>
    </row>
    <row r="653" spans="4:4">
      <c r="D653" s="4"/>
    </row>
    <row r="654" spans="4:4">
      <c r="D654" s="4"/>
    </row>
    <row r="655" spans="4:4">
      <c r="D655" s="4"/>
    </row>
  </sheetData>
  <phoneticPr fontId="7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733"/>
  <sheetViews>
    <sheetView topLeftCell="D1" zoomScale="115" zoomScaleNormal="115" workbookViewId="0">
      <selection activeCell="Y31" sqref="Y31"/>
    </sheetView>
  </sheetViews>
  <sheetFormatPr baseColWidth="10" defaultColWidth="9" defaultRowHeight="15"/>
  <cols>
    <col min="1" max="1" width="9.1640625" customWidth="1"/>
    <col min="3" max="3" width="13.5" customWidth="1"/>
    <col min="4" max="4" width="15" customWidth="1"/>
  </cols>
  <sheetData>
    <row r="1" spans="1:48" ht="32">
      <c r="A1" s="2" t="s">
        <v>17</v>
      </c>
      <c r="B1" s="23" t="s">
        <v>18</v>
      </c>
      <c r="C1" s="28" t="s">
        <v>19</v>
      </c>
      <c r="D1" s="28"/>
      <c r="E1" s="3" t="s">
        <v>18</v>
      </c>
      <c r="F1" s="4" t="s">
        <v>5</v>
      </c>
      <c r="G1" s="4" t="s">
        <v>6</v>
      </c>
      <c r="H1" s="4" t="s">
        <v>7</v>
      </c>
      <c r="I1" s="8" t="s">
        <v>8</v>
      </c>
      <c r="J1" s="8" t="s">
        <v>9</v>
      </c>
      <c r="K1" s="8" t="s">
        <v>10</v>
      </c>
      <c r="L1" s="4">
        <v>9</v>
      </c>
      <c r="M1" s="4">
        <v>10</v>
      </c>
      <c r="N1" s="4">
        <v>11</v>
      </c>
      <c r="O1" s="4">
        <v>12</v>
      </c>
      <c r="P1" s="4">
        <v>1</v>
      </c>
      <c r="Q1" s="4">
        <v>2</v>
      </c>
      <c r="R1" s="4">
        <v>3</v>
      </c>
      <c r="S1" s="4">
        <v>4</v>
      </c>
      <c r="T1" s="8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16</v>
      </c>
    </row>
    <row r="2" spans="1:48">
      <c r="A2" s="5">
        <v>1970</v>
      </c>
      <c r="B2" s="4" t="s">
        <v>5</v>
      </c>
      <c r="C2" s="25">
        <v>1235.9399656548801</v>
      </c>
      <c r="D2" s="29"/>
      <c r="E2" t="s">
        <v>46</v>
      </c>
      <c r="F2" s="25">
        <v>1228.4801056287699</v>
      </c>
      <c r="G2" s="25">
        <v>1228.4801056287699</v>
      </c>
      <c r="H2" s="25">
        <v>1228.4801056287699</v>
      </c>
      <c r="I2" s="25">
        <v>987.92739148662099</v>
      </c>
      <c r="J2" s="25">
        <v>987.92739148662099</v>
      </c>
      <c r="K2" s="25">
        <v>987.92739148662099</v>
      </c>
      <c r="L2" s="25">
        <v>646.50681846744897</v>
      </c>
      <c r="M2" s="25">
        <v>757.02306323954303</v>
      </c>
      <c r="N2" s="30">
        <v>707.98111865103499</v>
      </c>
      <c r="O2" s="30">
        <v>410.62228576608601</v>
      </c>
      <c r="P2" s="30">
        <v>410.62228576608601</v>
      </c>
      <c r="Q2" s="30">
        <v>410.98305392838898</v>
      </c>
      <c r="R2" s="30">
        <v>573.131043311236</v>
      </c>
      <c r="S2" s="25">
        <v>911.69538487561294</v>
      </c>
      <c r="T2" s="25">
        <v>1257.9163188795501</v>
      </c>
      <c r="U2" s="25">
        <v>1257.9163188795501</v>
      </c>
      <c r="V2" s="25">
        <v>1257.9163188795501</v>
      </c>
      <c r="W2" s="25">
        <v>1345.89347359965</v>
      </c>
      <c r="X2" s="25">
        <v>1345.89347359965</v>
      </c>
      <c r="Y2" s="25">
        <v>1345.89347359965</v>
      </c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</row>
    <row r="3" spans="1:48">
      <c r="A3" s="5"/>
      <c r="B3" s="4" t="s">
        <v>6</v>
      </c>
      <c r="C3" s="25">
        <v>1235.9399656548801</v>
      </c>
      <c r="D3" s="29"/>
      <c r="E3" t="s">
        <v>47</v>
      </c>
      <c r="F3" s="25">
        <v>1228.4801056287699</v>
      </c>
      <c r="G3" s="25">
        <v>1228.4801056287699</v>
      </c>
      <c r="H3" s="25">
        <v>1228.4801056287699</v>
      </c>
      <c r="I3" s="25">
        <v>987.92739148662099</v>
      </c>
      <c r="J3" s="25">
        <v>987.92739148662099</v>
      </c>
      <c r="K3" s="25">
        <v>987.92739148662099</v>
      </c>
      <c r="L3" s="25">
        <v>646.50681846744897</v>
      </c>
      <c r="M3" s="25">
        <v>757.02306323954303</v>
      </c>
      <c r="N3" s="30">
        <v>707.98111865103499</v>
      </c>
      <c r="O3" s="30">
        <v>410.62228576608601</v>
      </c>
      <c r="P3" s="30">
        <v>410.62228576608601</v>
      </c>
      <c r="Q3" s="30">
        <v>410.98305392838898</v>
      </c>
      <c r="R3" s="30">
        <v>573.131043311236</v>
      </c>
      <c r="S3" s="25">
        <v>911.69538487561294</v>
      </c>
      <c r="T3" s="25">
        <v>1257.9163188795501</v>
      </c>
      <c r="U3" s="25">
        <v>1257.9163188795501</v>
      </c>
      <c r="V3" s="25">
        <v>1257.9163188795501</v>
      </c>
      <c r="W3" s="25">
        <v>1345.89347359965</v>
      </c>
      <c r="X3" s="25">
        <v>1345.89347359965</v>
      </c>
      <c r="Y3" s="25">
        <v>1345.89347359965</v>
      </c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</row>
    <row r="4" spans="1:48">
      <c r="A4" s="5"/>
      <c r="B4" s="4" t="s">
        <v>7</v>
      </c>
      <c r="C4" s="25">
        <v>1235.9399656548801</v>
      </c>
      <c r="D4" s="29"/>
      <c r="E4" t="s">
        <v>48</v>
      </c>
      <c r="F4" s="25">
        <v>1228.4801056287699</v>
      </c>
      <c r="G4" s="25">
        <v>1228.4801056287699</v>
      </c>
      <c r="H4" s="25">
        <v>1228.4801056287699</v>
      </c>
      <c r="I4" s="25">
        <v>987.92739148662099</v>
      </c>
      <c r="J4" s="25">
        <v>987.92739148662099</v>
      </c>
      <c r="K4" s="25">
        <v>987.92739148662099</v>
      </c>
      <c r="L4" s="25">
        <v>646.50681846744897</v>
      </c>
      <c r="M4" s="25">
        <v>757.02306323954303</v>
      </c>
      <c r="N4" s="30">
        <v>707.98111865103499</v>
      </c>
      <c r="O4" s="30">
        <v>410.62228576608601</v>
      </c>
      <c r="P4" s="30">
        <v>410.62228576608601</v>
      </c>
      <c r="Q4" s="30">
        <v>410.98305392838898</v>
      </c>
      <c r="R4" s="30">
        <v>573.131043311236</v>
      </c>
      <c r="S4" s="25">
        <v>911.69538487561294</v>
      </c>
      <c r="T4" s="25">
        <v>1257.9163188795501</v>
      </c>
      <c r="U4" s="25">
        <v>1257.9163188795501</v>
      </c>
      <c r="V4" s="25">
        <v>1257.9163188795501</v>
      </c>
      <c r="W4" s="25">
        <v>1345.89347359965</v>
      </c>
      <c r="X4" s="25">
        <v>1345.89347359965</v>
      </c>
      <c r="Y4" s="25">
        <v>1345.89347359965</v>
      </c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</row>
    <row r="5" spans="1:48">
      <c r="A5" s="5"/>
      <c r="B5" s="8" t="s">
        <v>8</v>
      </c>
      <c r="C5" s="25">
        <v>993.92651188155605</v>
      </c>
      <c r="D5" s="29"/>
      <c r="E5" t="s">
        <v>49</v>
      </c>
      <c r="F5" s="25">
        <v>1228.4801056287699</v>
      </c>
      <c r="G5" s="25">
        <v>1228.4801056287699</v>
      </c>
      <c r="H5" s="25">
        <v>1228.4801056287699</v>
      </c>
      <c r="I5" s="25">
        <v>987.92739148662099</v>
      </c>
      <c r="J5" s="25">
        <v>987.92739148662099</v>
      </c>
      <c r="K5" s="25">
        <v>987.92739148662099</v>
      </c>
      <c r="L5" s="25">
        <v>646.50681846744897</v>
      </c>
      <c r="M5" s="25">
        <v>757.02306323954303</v>
      </c>
      <c r="N5" s="30">
        <v>707.98111865103499</v>
      </c>
      <c r="O5" s="30">
        <v>410.62228576608601</v>
      </c>
      <c r="P5" s="30">
        <v>410.62228576608601</v>
      </c>
      <c r="Q5" s="30">
        <v>410.98305392838898</v>
      </c>
      <c r="R5" s="30">
        <v>573.131043311236</v>
      </c>
      <c r="S5" s="25">
        <v>911.69538487561294</v>
      </c>
      <c r="T5" s="25">
        <v>1257.9163188795501</v>
      </c>
      <c r="U5" s="25">
        <v>1257.9163188795501</v>
      </c>
      <c r="V5" s="25">
        <v>1257.9163188795501</v>
      </c>
      <c r="W5" s="25">
        <v>1345.89347359965</v>
      </c>
      <c r="X5" s="25">
        <v>1345.89347359965</v>
      </c>
      <c r="Y5" s="25">
        <v>1345.89347359965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</row>
    <row r="6" spans="1:48">
      <c r="A6" s="5"/>
      <c r="B6" s="8" t="s">
        <v>9</v>
      </c>
      <c r="C6" s="25">
        <v>993.92651188155605</v>
      </c>
      <c r="D6" s="29"/>
      <c r="E6" t="s">
        <v>50</v>
      </c>
      <c r="F6" s="25">
        <v>1228.4801056287699</v>
      </c>
      <c r="G6" s="25">
        <v>1228.4801056287699</v>
      </c>
      <c r="H6" s="25">
        <v>1228.4801056287699</v>
      </c>
      <c r="I6" s="25">
        <v>987.92739148662099</v>
      </c>
      <c r="J6" s="25">
        <v>987.92739148662099</v>
      </c>
      <c r="K6" s="25">
        <v>987.92739148662099</v>
      </c>
      <c r="L6" s="25">
        <v>646.50681846744897</v>
      </c>
      <c r="M6" s="25">
        <v>757.02306323954303</v>
      </c>
      <c r="N6" s="30">
        <v>707.98111865103499</v>
      </c>
      <c r="O6" s="30">
        <v>410.62228576608601</v>
      </c>
      <c r="P6" s="30">
        <v>410.62228576608601</v>
      </c>
      <c r="Q6" s="30">
        <v>410.98305392838898</v>
      </c>
      <c r="R6" s="30">
        <v>573.131043311236</v>
      </c>
      <c r="S6" s="25">
        <v>911.69538487561294</v>
      </c>
      <c r="T6" s="25">
        <v>1257.9163188795501</v>
      </c>
      <c r="U6" s="25">
        <v>1257.9163188795501</v>
      </c>
      <c r="V6" s="25">
        <v>1257.9163188795501</v>
      </c>
      <c r="W6" s="25">
        <v>1345.89347359965</v>
      </c>
      <c r="X6" s="25">
        <v>1345.89347359965</v>
      </c>
      <c r="Y6" s="25">
        <v>1345.89347359965</v>
      </c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</row>
    <row r="7" spans="1:48">
      <c r="A7" s="5"/>
      <c r="B7" s="8" t="s">
        <v>10</v>
      </c>
      <c r="C7" s="25">
        <v>993.92651188155605</v>
      </c>
      <c r="D7" s="29"/>
      <c r="E7" t="s">
        <v>51</v>
      </c>
      <c r="F7" s="25">
        <v>1228.4801056287699</v>
      </c>
      <c r="G7" s="25">
        <v>1228.4801056287699</v>
      </c>
      <c r="H7" s="25">
        <v>1228.4801056287699</v>
      </c>
      <c r="I7" s="25">
        <v>987.92739148662099</v>
      </c>
      <c r="J7" s="25">
        <v>987.92739148662099</v>
      </c>
      <c r="K7" s="25">
        <v>987.92739148662099</v>
      </c>
      <c r="L7" s="25">
        <v>646.50681846744897</v>
      </c>
      <c r="M7" s="25">
        <v>757.02306323954303</v>
      </c>
      <c r="N7" s="30">
        <v>707.98111865103499</v>
      </c>
      <c r="O7" s="30">
        <v>410.62228576608601</v>
      </c>
      <c r="P7" s="30">
        <v>410.62228576608601</v>
      </c>
      <c r="Q7" s="30">
        <v>410.98305392838898</v>
      </c>
      <c r="R7" s="30">
        <v>573.131043311236</v>
      </c>
      <c r="S7" s="25">
        <v>911.69538487561294</v>
      </c>
      <c r="T7" s="25">
        <v>1257.9163188795501</v>
      </c>
      <c r="U7" s="25">
        <v>1257.9163188795501</v>
      </c>
      <c r="V7" s="25">
        <v>1257.9163188795501</v>
      </c>
      <c r="W7" s="25">
        <v>1345.89347359965</v>
      </c>
      <c r="X7" s="25">
        <v>1345.89347359965</v>
      </c>
      <c r="Y7" s="25">
        <v>1345.89347359965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8">
      <c r="A8" s="5"/>
      <c r="B8" s="4">
        <v>9</v>
      </c>
      <c r="C8" s="25">
        <v>650.43268617144702</v>
      </c>
      <c r="D8" s="29"/>
      <c r="E8" t="s">
        <v>52</v>
      </c>
      <c r="F8" s="25">
        <v>1228.4801056287699</v>
      </c>
      <c r="G8" s="25">
        <v>1228.4801056287699</v>
      </c>
      <c r="H8" s="25">
        <v>1228.4801056287699</v>
      </c>
      <c r="I8" s="25">
        <v>987.92739148662099</v>
      </c>
      <c r="J8" s="25">
        <v>987.92739148662099</v>
      </c>
      <c r="K8" s="25">
        <v>987.92739148662099</v>
      </c>
      <c r="L8" s="25">
        <v>646.50681846744897</v>
      </c>
      <c r="M8" s="25">
        <v>757.02306323954303</v>
      </c>
      <c r="N8" s="30">
        <v>707.98111865103499</v>
      </c>
      <c r="O8" s="30">
        <v>410.62228576608601</v>
      </c>
      <c r="P8" s="30">
        <v>410.62228576608601</v>
      </c>
      <c r="Q8" s="30">
        <v>410.98305392838898</v>
      </c>
      <c r="R8" s="30">
        <v>573.131043311236</v>
      </c>
      <c r="S8" s="25">
        <v>911.69538487561294</v>
      </c>
      <c r="T8" s="25">
        <v>1257.9163188795501</v>
      </c>
      <c r="U8" s="25">
        <v>1257.9163188795501</v>
      </c>
      <c r="V8" s="25">
        <v>1257.9163188795501</v>
      </c>
      <c r="W8" s="25">
        <v>1345.89347359965</v>
      </c>
      <c r="X8" s="25">
        <v>1345.89347359965</v>
      </c>
      <c r="Y8" s="25">
        <v>1345.89347359965</v>
      </c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</row>
    <row r="9" spans="1:48">
      <c r="A9" s="5"/>
      <c r="B9" s="4">
        <v>10</v>
      </c>
      <c r="C9" s="25">
        <v>761.62003315580603</v>
      </c>
      <c r="D9" s="29"/>
      <c r="E9" t="s">
        <v>53</v>
      </c>
      <c r="F9" s="25">
        <v>1228.4801056287699</v>
      </c>
      <c r="G9" s="25">
        <v>1228.4801056287699</v>
      </c>
      <c r="H9" s="25">
        <v>1228.4801056287699</v>
      </c>
      <c r="I9" s="25">
        <v>987.92739148662099</v>
      </c>
      <c r="J9" s="25">
        <v>987.92739148662099</v>
      </c>
      <c r="K9" s="25">
        <v>987.92739148662099</v>
      </c>
      <c r="L9" s="25">
        <v>646.50681846744897</v>
      </c>
      <c r="M9" s="25">
        <v>757.02306323954303</v>
      </c>
      <c r="N9" s="30">
        <v>707.98111865103499</v>
      </c>
      <c r="O9" s="30">
        <v>410.62228576608601</v>
      </c>
      <c r="P9" s="30">
        <v>410.62228576608601</v>
      </c>
      <c r="Q9" s="30">
        <v>410.98305392838898</v>
      </c>
      <c r="R9" s="30">
        <v>573.131043311236</v>
      </c>
      <c r="S9" s="25">
        <v>911.69538487561294</v>
      </c>
      <c r="T9" s="25">
        <v>1257.9163188795501</v>
      </c>
      <c r="U9" s="25">
        <v>1257.9163188795501</v>
      </c>
      <c r="V9" s="25">
        <v>1257.9163188795501</v>
      </c>
      <c r="W9" s="25">
        <v>1345.89347359965</v>
      </c>
      <c r="X9" s="25">
        <v>1345.89347359965</v>
      </c>
      <c r="Y9" s="25">
        <v>1345.89347359965</v>
      </c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</row>
    <row r="10" spans="1:48">
      <c r="A10" s="5"/>
      <c r="B10" s="4">
        <v>11</v>
      </c>
      <c r="C10" s="30">
        <v>712.28028476863506</v>
      </c>
      <c r="D10" s="29"/>
      <c r="E10" t="s">
        <v>54</v>
      </c>
      <c r="F10" s="25">
        <v>1228.4801056287699</v>
      </c>
      <c r="G10" s="25">
        <v>1228.4801056287699</v>
      </c>
      <c r="H10" s="25">
        <v>1228.4801056287699</v>
      </c>
      <c r="I10" s="25">
        <v>987.92739148662099</v>
      </c>
      <c r="J10" s="25">
        <v>987.92739148662099</v>
      </c>
      <c r="K10" s="25">
        <v>987.92739148662099</v>
      </c>
      <c r="L10" s="25">
        <v>646.50681846744897</v>
      </c>
      <c r="M10" s="25">
        <v>757.02306323954303</v>
      </c>
      <c r="N10" s="30">
        <v>707.98111865103499</v>
      </c>
      <c r="O10" s="30">
        <v>410.62228576608601</v>
      </c>
      <c r="P10" s="30">
        <v>410.62228576608601</v>
      </c>
      <c r="Q10" s="30">
        <v>410.98305392838898</v>
      </c>
      <c r="R10" s="30">
        <v>573.131043311236</v>
      </c>
      <c r="S10" s="25">
        <v>911.69538487561294</v>
      </c>
      <c r="T10" s="25">
        <v>1257.9163188795501</v>
      </c>
      <c r="U10" s="25">
        <v>1257.9163188795501</v>
      </c>
      <c r="V10" s="25">
        <v>1257.9163188795501</v>
      </c>
      <c r="W10" s="25">
        <v>1345.89347359965</v>
      </c>
      <c r="X10" s="25">
        <v>1345.89347359965</v>
      </c>
      <c r="Y10" s="25">
        <v>1345.89347359965</v>
      </c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</row>
    <row r="11" spans="1:48">
      <c r="A11" s="5"/>
      <c r="B11" s="4">
        <v>12</v>
      </c>
      <c r="C11" s="30">
        <v>413.11576104613403</v>
      </c>
      <c r="D11" s="29"/>
      <c r="E11" t="s">
        <v>55</v>
      </c>
      <c r="F11" s="25">
        <v>1228.4801056287699</v>
      </c>
      <c r="G11" s="25">
        <v>1228.4801056287699</v>
      </c>
      <c r="H11" s="25">
        <v>1228.4801056287699</v>
      </c>
      <c r="I11" s="25">
        <v>987.92739148662099</v>
      </c>
      <c r="J11" s="25">
        <v>987.92739148662099</v>
      </c>
      <c r="K11" s="25">
        <v>987.92739148662099</v>
      </c>
      <c r="L11" s="25">
        <v>646.50681846744897</v>
      </c>
      <c r="M11" s="25">
        <v>757.02306323954303</v>
      </c>
      <c r="N11" s="30">
        <v>707.98111865103499</v>
      </c>
      <c r="O11" s="30">
        <v>410.62228576608601</v>
      </c>
      <c r="P11" s="30">
        <v>410.62228576608601</v>
      </c>
      <c r="Q11" s="30">
        <v>410.98305392838898</v>
      </c>
      <c r="R11" s="30">
        <v>573.131043311236</v>
      </c>
      <c r="S11" s="25">
        <v>911.69538487561294</v>
      </c>
      <c r="T11" s="25">
        <v>1257.9163188795501</v>
      </c>
      <c r="U11" s="25">
        <v>1257.9163188795501</v>
      </c>
      <c r="V11" s="25">
        <v>1257.9163188795501</v>
      </c>
      <c r="W11" s="25">
        <v>1345.89347359965</v>
      </c>
      <c r="X11" s="25">
        <v>1345.89347359965</v>
      </c>
      <c r="Y11" s="25">
        <v>1345.89347359965</v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</row>
    <row r="12" spans="1:48">
      <c r="A12" s="5"/>
      <c r="B12" s="4">
        <v>1</v>
      </c>
      <c r="C12" s="30">
        <v>413.11576104613403</v>
      </c>
      <c r="D12" s="29"/>
      <c r="E12" t="s">
        <v>56</v>
      </c>
      <c r="F12" s="25">
        <v>1228.4801056287699</v>
      </c>
      <c r="G12" s="25">
        <v>1228.4801056287699</v>
      </c>
      <c r="H12" s="25">
        <v>1228.4801056287699</v>
      </c>
      <c r="I12" s="25">
        <v>987.92739148662099</v>
      </c>
      <c r="J12" s="25">
        <v>987.92739148662099</v>
      </c>
      <c r="K12" s="25">
        <v>987.92739148662099</v>
      </c>
      <c r="L12" s="25">
        <v>646.50681846744897</v>
      </c>
      <c r="M12" s="25">
        <v>757.02306323954303</v>
      </c>
      <c r="N12" s="30">
        <v>707.98111865103499</v>
      </c>
      <c r="O12" s="30">
        <v>410.62228576608601</v>
      </c>
      <c r="P12" s="30">
        <v>410.62228576608601</v>
      </c>
      <c r="Q12" s="30">
        <v>410.98305392838898</v>
      </c>
      <c r="R12" s="30">
        <v>573.131043311236</v>
      </c>
      <c r="S12" s="25">
        <v>911.69538487561294</v>
      </c>
      <c r="T12" s="25">
        <v>1257.9163188795501</v>
      </c>
      <c r="U12" s="25">
        <v>1257.9163188795501</v>
      </c>
      <c r="V12" s="25">
        <v>1257.9163188795501</v>
      </c>
      <c r="W12" s="25">
        <v>1345.89347359965</v>
      </c>
      <c r="X12" s="25">
        <v>1345.89347359965</v>
      </c>
      <c r="Y12" s="25">
        <v>1345.89347359965</v>
      </c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</row>
    <row r="13" spans="1:48">
      <c r="A13" s="5"/>
      <c r="B13" s="4">
        <v>2</v>
      </c>
      <c r="C13" s="30">
        <v>413.47871994801801</v>
      </c>
      <c r="D13" s="29"/>
      <c r="E13" t="s">
        <v>57</v>
      </c>
      <c r="F13" s="25">
        <v>1228.4801056287699</v>
      </c>
      <c r="G13" s="25">
        <v>1228.4801056287699</v>
      </c>
      <c r="H13" s="25">
        <v>1228.4801056287699</v>
      </c>
      <c r="I13" s="25">
        <v>987.92739148662099</v>
      </c>
      <c r="J13" s="25">
        <v>987.92739148662099</v>
      </c>
      <c r="K13" s="25">
        <v>987.92739148662099</v>
      </c>
      <c r="L13" s="25">
        <v>646.50681846744897</v>
      </c>
      <c r="M13" s="25">
        <v>757.02306323954303</v>
      </c>
      <c r="N13" s="30">
        <v>707.98111865103499</v>
      </c>
      <c r="O13" s="30">
        <v>410.62228576608601</v>
      </c>
      <c r="P13" s="30">
        <v>410.62228576608601</v>
      </c>
      <c r="Q13" s="30">
        <v>410.98305392838898</v>
      </c>
      <c r="R13" s="30">
        <v>573.131043311236</v>
      </c>
      <c r="S13" s="25">
        <v>911.69538487561294</v>
      </c>
      <c r="T13" s="25">
        <v>1257.9163188795501</v>
      </c>
      <c r="U13" s="25">
        <v>1257.9163188795501</v>
      </c>
      <c r="V13" s="25">
        <v>1257.9163188795501</v>
      </c>
      <c r="W13" s="25">
        <v>1345.89347359965</v>
      </c>
      <c r="X13" s="25">
        <v>1345.89347359965</v>
      </c>
      <c r="Y13" s="25">
        <v>1345.89347359965</v>
      </c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</row>
    <row r="14" spans="1:48">
      <c r="A14" s="5"/>
      <c r="B14" s="4">
        <v>3</v>
      </c>
      <c r="C14" s="30">
        <v>576.611341722362</v>
      </c>
      <c r="D14" s="29"/>
      <c r="E14" t="s">
        <v>58</v>
      </c>
      <c r="F14" s="25">
        <v>1228.4801056287699</v>
      </c>
      <c r="G14" s="25">
        <v>1228.4801056287699</v>
      </c>
      <c r="H14" s="25">
        <v>1228.4801056287699</v>
      </c>
      <c r="I14" s="25">
        <v>987.92739148662099</v>
      </c>
      <c r="J14" s="25">
        <v>987.92739148662099</v>
      </c>
      <c r="K14" s="25">
        <v>987.92739148662099</v>
      </c>
      <c r="L14" s="25">
        <v>646.50681846744897</v>
      </c>
      <c r="M14" s="25">
        <v>757.02306323954303</v>
      </c>
      <c r="N14" s="30">
        <v>707.98111865103499</v>
      </c>
      <c r="O14" s="30">
        <v>410.62228576608601</v>
      </c>
      <c r="P14" s="30">
        <v>410.62228576608601</v>
      </c>
      <c r="Q14" s="30">
        <v>410.98305392838898</v>
      </c>
      <c r="R14" s="30">
        <v>573.131043311236</v>
      </c>
      <c r="S14" s="25">
        <v>911.69538487561294</v>
      </c>
      <c r="T14" s="25">
        <v>1257.9163188795501</v>
      </c>
      <c r="U14" s="25">
        <v>1257.9163188795501</v>
      </c>
      <c r="V14" s="25">
        <v>1257.9163188795501</v>
      </c>
      <c r="W14" s="25">
        <v>1345.89347359965</v>
      </c>
      <c r="X14" s="25">
        <v>1345.89347359965</v>
      </c>
      <c r="Y14" s="25">
        <v>1345.89347359965</v>
      </c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</row>
    <row r="15" spans="1:48">
      <c r="A15" s="5"/>
      <c r="B15" s="4">
        <v>4</v>
      </c>
      <c r="C15" s="25">
        <v>917.23159171075804</v>
      </c>
      <c r="D15" s="29"/>
      <c r="E15" t="s">
        <v>59</v>
      </c>
      <c r="F15" s="25">
        <v>1228.4801056287699</v>
      </c>
      <c r="G15" s="25">
        <v>1228.4801056287699</v>
      </c>
      <c r="H15" s="25">
        <v>1228.4801056287699</v>
      </c>
      <c r="I15" s="25">
        <v>987.92739148662099</v>
      </c>
      <c r="J15" s="25">
        <v>987.92739148662099</v>
      </c>
      <c r="K15" s="25">
        <v>987.92739148662099</v>
      </c>
      <c r="L15" s="25">
        <v>646.50681846744897</v>
      </c>
      <c r="M15" s="25">
        <v>757.02306323954303</v>
      </c>
      <c r="N15" s="30">
        <v>707.98111865103499</v>
      </c>
      <c r="O15" s="30">
        <v>410.62228576608601</v>
      </c>
      <c r="P15" s="30">
        <v>410.62228576608601</v>
      </c>
      <c r="Q15" s="30">
        <v>410.98305392838898</v>
      </c>
      <c r="R15" s="30">
        <v>573.131043311236</v>
      </c>
      <c r="S15" s="25">
        <v>911.69538487561294</v>
      </c>
      <c r="T15" s="25">
        <v>1257.9163188795501</v>
      </c>
      <c r="U15" s="25">
        <v>1257.9163188795501</v>
      </c>
      <c r="V15" s="25">
        <v>1257.9163188795501</v>
      </c>
      <c r="W15" s="25">
        <v>1345.89347359965</v>
      </c>
      <c r="X15" s="25">
        <v>1345.89347359965</v>
      </c>
      <c r="Y15" s="25">
        <v>1345.89347359965</v>
      </c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</row>
    <row r="16" spans="1:48">
      <c r="A16" s="5"/>
      <c r="B16" s="8" t="s">
        <v>11</v>
      </c>
      <c r="C16" s="25">
        <v>1265.5549282639499</v>
      </c>
      <c r="D16" s="29"/>
      <c r="E16" t="s">
        <v>60</v>
      </c>
      <c r="F16" s="25">
        <v>1228.4801056287699</v>
      </c>
      <c r="G16" s="25">
        <v>1228.4801056287699</v>
      </c>
      <c r="H16" s="25">
        <v>1228.4801056287699</v>
      </c>
      <c r="I16" s="25">
        <v>987.92739148662099</v>
      </c>
      <c r="J16" s="25">
        <v>987.92739148662099</v>
      </c>
      <c r="K16" s="25">
        <v>987.92739148662099</v>
      </c>
      <c r="L16" s="25">
        <v>646.50681846744897</v>
      </c>
      <c r="M16" s="25">
        <v>757.02306323954303</v>
      </c>
      <c r="N16" s="30">
        <v>707.98111865103499</v>
      </c>
      <c r="O16" s="30">
        <v>410.62228576608601</v>
      </c>
      <c r="P16" s="30">
        <v>410.62228576608601</v>
      </c>
      <c r="Q16" s="30">
        <v>410.98305392838898</v>
      </c>
      <c r="R16" s="30">
        <v>573.131043311236</v>
      </c>
      <c r="S16" s="25">
        <v>911.69538487561294</v>
      </c>
      <c r="T16" s="25">
        <v>1257.9163188795501</v>
      </c>
      <c r="U16" s="25">
        <v>1257.9163188795501</v>
      </c>
      <c r="V16" s="25">
        <v>1257.9163188795501</v>
      </c>
      <c r="W16" s="25">
        <v>1345.89347359965</v>
      </c>
      <c r="X16" s="25">
        <v>1345.89347359965</v>
      </c>
      <c r="Y16" s="25">
        <v>1345.89347359965</v>
      </c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</row>
    <row r="17" spans="1:46">
      <c r="A17" s="5"/>
      <c r="B17" s="8" t="s">
        <v>12</v>
      </c>
      <c r="C17" s="25">
        <v>1265.5549282639499</v>
      </c>
      <c r="D17" s="29"/>
      <c r="E17" t="s">
        <v>61</v>
      </c>
      <c r="F17" s="25">
        <v>1228.4801056287699</v>
      </c>
      <c r="G17" s="25">
        <v>1228.4801056287699</v>
      </c>
      <c r="H17" s="25">
        <v>1228.4801056287699</v>
      </c>
      <c r="I17" s="25">
        <v>987.92739148662099</v>
      </c>
      <c r="J17" s="25">
        <v>987.92739148662099</v>
      </c>
      <c r="K17" s="25">
        <v>987.92739148662099</v>
      </c>
      <c r="L17" s="25">
        <v>646.50681846744897</v>
      </c>
      <c r="M17" s="25">
        <v>757.02306323954303</v>
      </c>
      <c r="N17" s="30">
        <v>707.98111865103499</v>
      </c>
      <c r="O17" s="30">
        <v>410.62228576608601</v>
      </c>
      <c r="P17" s="30">
        <v>410.62228576608601</v>
      </c>
      <c r="Q17" s="30">
        <v>410.98305392838898</v>
      </c>
      <c r="R17" s="30">
        <v>573.131043311236</v>
      </c>
      <c r="S17" s="25">
        <v>911.69538487561294</v>
      </c>
      <c r="T17" s="25">
        <v>1257.9163188795501</v>
      </c>
      <c r="U17" s="25">
        <v>1257.9163188795501</v>
      </c>
      <c r="V17" s="25">
        <v>1257.9163188795501</v>
      </c>
      <c r="W17" s="25">
        <v>1345.89347359965</v>
      </c>
      <c r="X17" s="25">
        <v>1345.89347359965</v>
      </c>
      <c r="Y17" s="25">
        <v>1345.89347359965</v>
      </c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</row>
    <row r="18" spans="1:46">
      <c r="A18" s="5"/>
      <c r="B18" s="8" t="s">
        <v>13</v>
      </c>
      <c r="C18" s="25">
        <v>1265.5549282639499</v>
      </c>
      <c r="D18" s="29"/>
      <c r="E18" t="s">
        <v>62</v>
      </c>
      <c r="F18" s="25">
        <v>1228.4801056287699</v>
      </c>
      <c r="G18" s="25">
        <v>1228.4801056287699</v>
      </c>
      <c r="H18" s="25">
        <v>1228.4801056287699</v>
      </c>
      <c r="I18" s="25">
        <v>987.92739148662099</v>
      </c>
      <c r="J18" s="25">
        <v>987.92739148662099</v>
      </c>
      <c r="K18" s="25">
        <v>987.92739148662099</v>
      </c>
      <c r="L18" s="25">
        <v>646.50681846744897</v>
      </c>
      <c r="M18" s="25">
        <v>757.02306323954303</v>
      </c>
      <c r="N18" s="30">
        <v>707.98111865103499</v>
      </c>
      <c r="O18" s="30">
        <v>410.62228576608601</v>
      </c>
      <c r="P18" s="30">
        <v>410.62228576608601</v>
      </c>
      <c r="Q18" s="30">
        <v>410.98305392838898</v>
      </c>
      <c r="R18" s="30">
        <v>573.131043311236</v>
      </c>
      <c r="S18" s="25">
        <v>911.69538487561294</v>
      </c>
      <c r="T18" s="25">
        <v>1257.9163188795501</v>
      </c>
      <c r="U18" s="25">
        <v>1257.9163188795501</v>
      </c>
      <c r="V18" s="25">
        <v>1257.9163188795501</v>
      </c>
      <c r="W18" s="25">
        <v>1345.89347359965</v>
      </c>
      <c r="X18" s="25">
        <v>1345.89347359965</v>
      </c>
      <c r="Y18" s="25">
        <v>1345.89347359965</v>
      </c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</row>
    <row r="19" spans="1:46">
      <c r="A19" s="5"/>
      <c r="B19" s="8" t="s">
        <v>14</v>
      </c>
      <c r="C19" s="25">
        <v>1354.0663181391001</v>
      </c>
      <c r="D19" s="29"/>
      <c r="E19" t="s">
        <v>63</v>
      </c>
      <c r="F19" s="25">
        <v>1228.4801056287699</v>
      </c>
      <c r="G19" s="25">
        <v>1228.4801056287699</v>
      </c>
      <c r="H19" s="25">
        <v>1228.4801056287699</v>
      </c>
      <c r="I19" s="25">
        <v>987.92739148662099</v>
      </c>
      <c r="J19" s="25">
        <v>987.92739148662099</v>
      </c>
      <c r="K19" s="25">
        <v>987.92739148662099</v>
      </c>
      <c r="L19" s="25">
        <v>646.50681846744897</v>
      </c>
      <c r="M19" s="25">
        <v>757.02306323954303</v>
      </c>
      <c r="N19" s="30">
        <v>707.98111865103499</v>
      </c>
      <c r="O19" s="30">
        <v>410.62228576608601</v>
      </c>
      <c r="P19" s="30">
        <v>410.62228576608601</v>
      </c>
      <c r="Q19" s="30">
        <v>410.98305392838898</v>
      </c>
      <c r="R19" s="30">
        <v>573.131043311236</v>
      </c>
      <c r="S19" s="25">
        <v>911.69538487561294</v>
      </c>
      <c r="T19" s="25">
        <v>1257.9163188795501</v>
      </c>
      <c r="U19" s="25">
        <v>1257.9163188795501</v>
      </c>
      <c r="V19" s="25">
        <v>1257.9163188795501</v>
      </c>
      <c r="W19" s="25">
        <v>1345.89347359965</v>
      </c>
      <c r="X19" s="25">
        <v>1345.89347359965</v>
      </c>
      <c r="Y19" s="25">
        <v>1345.89347359965</v>
      </c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</row>
    <row r="20" spans="1:46">
      <c r="A20" s="5"/>
      <c r="B20" s="8" t="s">
        <v>15</v>
      </c>
      <c r="C20" s="25">
        <v>1354.0663181391001</v>
      </c>
      <c r="D20" s="29"/>
      <c r="E20" t="s">
        <v>64</v>
      </c>
      <c r="F20" s="25">
        <v>1228.4801056287699</v>
      </c>
      <c r="G20" s="25">
        <v>1228.4801056287699</v>
      </c>
      <c r="H20" s="25">
        <v>1228.4801056287699</v>
      </c>
      <c r="I20" s="25">
        <v>987.92739148662099</v>
      </c>
      <c r="J20" s="25">
        <v>987.92739148662099</v>
      </c>
      <c r="K20" s="25">
        <v>987.92739148662099</v>
      </c>
      <c r="L20" s="25">
        <v>646.50681846744897</v>
      </c>
      <c r="M20" s="25">
        <v>757.02306323954303</v>
      </c>
      <c r="N20" s="30">
        <v>707.98111865103499</v>
      </c>
      <c r="O20" s="30">
        <v>410.62228576608601</v>
      </c>
      <c r="P20" s="30">
        <v>410.62228576608601</v>
      </c>
      <c r="Q20" s="30">
        <v>410.98305392838898</v>
      </c>
      <c r="R20" s="30">
        <v>573.131043311236</v>
      </c>
      <c r="S20" s="25">
        <v>911.69538487561294</v>
      </c>
      <c r="T20" s="25">
        <v>1257.9163188795501</v>
      </c>
      <c r="U20" s="25">
        <v>1257.9163188795501</v>
      </c>
      <c r="V20" s="25">
        <v>1257.9163188795501</v>
      </c>
      <c r="W20" s="25">
        <v>1345.89347359965</v>
      </c>
      <c r="X20" s="25">
        <v>1345.89347359965</v>
      </c>
      <c r="Y20" s="25">
        <v>1345.89347359965</v>
      </c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</row>
    <row r="21" spans="1:46">
      <c r="A21" s="5"/>
      <c r="B21" s="8" t="s">
        <v>16</v>
      </c>
      <c r="C21" s="25">
        <v>1354.0663181391001</v>
      </c>
      <c r="D21" s="29"/>
      <c r="E21" t="s">
        <v>65</v>
      </c>
      <c r="F21" s="25">
        <v>1228.4801056287699</v>
      </c>
      <c r="G21" s="25">
        <v>1228.4801056287699</v>
      </c>
      <c r="H21" s="25">
        <v>1228.4801056287699</v>
      </c>
      <c r="I21" s="25">
        <v>987.92739148662099</v>
      </c>
      <c r="J21" s="25">
        <v>987.92739148662099</v>
      </c>
      <c r="K21" s="25">
        <v>987.92739148662099</v>
      </c>
      <c r="L21" s="25">
        <v>646.50681846744897</v>
      </c>
      <c r="M21" s="25">
        <v>757.02306323954303</v>
      </c>
      <c r="N21" s="30">
        <v>707.98111865103499</v>
      </c>
      <c r="O21" s="30">
        <v>410.62228576608601</v>
      </c>
      <c r="P21" s="30">
        <v>410.62228576608601</v>
      </c>
      <c r="Q21" s="30">
        <v>410.98305392838898</v>
      </c>
      <c r="R21" s="30">
        <v>573.131043311236</v>
      </c>
      <c r="S21" s="25">
        <v>911.69538487561294</v>
      </c>
      <c r="T21" s="25">
        <v>1257.9163188795501</v>
      </c>
      <c r="U21" s="25">
        <v>1257.9163188795501</v>
      </c>
      <c r="V21" s="25">
        <v>1257.9163188795501</v>
      </c>
      <c r="W21" s="25">
        <v>1345.89347359965</v>
      </c>
      <c r="X21" s="25">
        <v>1345.89347359965</v>
      </c>
      <c r="Y21" s="25">
        <v>1345.89347359965</v>
      </c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</row>
    <row r="22" spans="1:46">
      <c r="A22" s="5">
        <v>1971</v>
      </c>
      <c r="B22" s="4" t="s">
        <v>5</v>
      </c>
      <c r="C22" s="14">
        <v>988.75197252390399</v>
      </c>
      <c r="E22" t="s">
        <v>20</v>
      </c>
      <c r="F22" s="25">
        <v>1228.4801056287699</v>
      </c>
      <c r="G22" s="25">
        <v>1228.4801056287699</v>
      </c>
      <c r="H22" s="25">
        <v>1228.4801056287699</v>
      </c>
      <c r="I22" s="25">
        <v>987.92739148662099</v>
      </c>
      <c r="J22" s="25">
        <v>987.92739148662099</v>
      </c>
      <c r="K22" s="25">
        <v>987.92739148662099</v>
      </c>
      <c r="L22" s="25">
        <v>646.50681846744897</v>
      </c>
      <c r="M22" s="25">
        <v>757.02306323954303</v>
      </c>
      <c r="N22" s="30">
        <v>707.98111865103499</v>
      </c>
      <c r="O22" s="30">
        <v>410.62228576608601</v>
      </c>
      <c r="P22" s="30">
        <v>410.62228576608601</v>
      </c>
      <c r="Q22" s="30">
        <v>410.98305392838898</v>
      </c>
      <c r="R22" s="30">
        <v>573.131043311236</v>
      </c>
      <c r="S22" s="25">
        <v>911.69538487561294</v>
      </c>
      <c r="T22" s="25">
        <v>1257.9163188795501</v>
      </c>
      <c r="U22" s="25">
        <v>1257.9163188795501</v>
      </c>
      <c r="V22" s="25">
        <v>1257.9163188795501</v>
      </c>
      <c r="W22" s="25">
        <v>1345.89347359965</v>
      </c>
      <c r="X22" s="25">
        <v>1345.89347359965</v>
      </c>
      <c r="Y22" s="25">
        <v>1345.89347359965</v>
      </c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</row>
    <row r="23" spans="1:46">
      <c r="A23" s="5"/>
      <c r="B23" s="4" t="s">
        <v>6</v>
      </c>
      <c r="C23" s="14">
        <v>988.75197252390205</v>
      </c>
      <c r="E23" t="s">
        <v>21</v>
      </c>
      <c r="F23" s="25">
        <v>1228.4801056287699</v>
      </c>
      <c r="G23" s="25">
        <v>1228.4801056287699</v>
      </c>
      <c r="H23" s="25">
        <v>1228.4801056287699</v>
      </c>
      <c r="I23" s="25">
        <v>987.92739148662099</v>
      </c>
      <c r="J23" s="25">
        <v>987.92739148662099</v>
      </c>
      <c r="K23" s="25">
        <v>987.92739148662099</v>
      </c>
      <c r="L23" s="25">
        <v>646.50681846744897</v>
      </c>
      <c r="M23" s="25">
        <v>757.02306323954303</v>
      </c>
      <c r="N23" s="30">
        <v>707.98111865103499</v>
      </c>
      <c r="O23" s="30">
        <v>410.62228576608601</v>
      </c>
      <c r="P23" s="30">
        <v>410.62228576608601</v>
      </c>
      <c r="Q23" s="30">
        <v>410.98305392838898</v>
      </c>
      <c r="R23" s="30">
        <v>573.131043311236</v>
      </c>
      <c r="S23" s="25">
        <v>911.69538487561294</v>
      </c>
      <c r="T23" s="25">
        <v>1257.9163188795501</v>
      </c>
      <c r="U23" s="25">
        <v>1257.9163188795501</v>
      </c>
      <c r="V23" s="25">
        <v>1257.9163188795501</v>
      </c>
      <c r="W23" s="25">
        <v>1345.89347359965</v>
      </c>
      <c r="X23" s="25">
        <v>1345.89347359965</v>
      </c>
      <c r="Y23" s="25">
        <v>1345.89347359965</v>
      </c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</row>
    <row r="24" spans="1:46">
      <c r="A24" s="5"/>
      <c r="B24" s="4" t="s">
        <v>7</v>
      </c>
      <c r="C24" s="14">
        <v>988.75197252390205</v>
      </c>
      <c r="E24" t="s">
        <v>22</v>
      </c>
      <c r="F24" s="25">
        <v>1228.4801056287699</v>
      </c>
      <c r="G24" s="25">
        <v>1228.4801056287699</v>
      </c>
      <c r="H24" s="25">
        <v>1228.4801056287699</v>
      </c>
      <c r="I24" s="25">
        <v>987.92739148662099</v>
      </c>
      <c r="J24" s="25">
        <v>987.92739148662099</v>
      </c>
      <c r="K24" s="25">
        <v>987.92739148662099</v>
      </c>
      <c r="L24" s="25">
        <v>646.50681846744897</v>
      </c>
      <c r="M24" s="25">
        <v>757.02306323954303</v>
      </c>
      <c r="N24" s="30">
        <v>707.98111865103499</v>
      </c>
      <c r="O24" s="30">
        <v>410.62228576608601</v>
      </c>
      <c r="P24" s="30">
        <v>410.62228576608601</v>
      </c>
      <c r="Q24" s="30">
        <v>410.98305392838898</v>
      </c>
      <c r="R24" s="30">
        <v>573.131043311236</v>
      </c>
      <c r="S24" s="25">
        <v>911.69538487561294</v>
      </c>
      <c r="T24" s="25">
        <v>1257.9163188795501</v>
      </c>
      <c r="U24" s="25">
        <v>1257.9163188795501</v>
      </c>
      <c r="V24" s="25">
        <v>1257.9163188795501</v>
      </c>
      <c r="W24" s="25">
        <v>1345.89347359965</v>
      </c>
      <c r="X24" s="25">
        <v>1345.89347359965</v>
      </c>
      <c r="Y24" s="25">
        <v>1345.89347359965</v>
      </c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</row>
    <row r="25" spans="1:46">
      <c r="A25" s="5"/>
      <c r="B25" s="8" t="s">
        <v>8</v>
      </c>
      <c r="C25" s="14">
        <v>795.141209505245</v>
      </c>
      <c r="E25" t="s">
        <v>23</v>
      </c>
      <c r="F25" s="25">
        <v>1228.4801056287699</v>
      </c>
      <c r="G25" s="25">
        <v>1228.4801056287699</v>
      </c>
      <c r="H25" s="25">
        <v>1228.4801056287699</v>
      </c>
      <c r="I25" s="25">
        <v>987.92739148662099</v>
      </c>
      <c r="J25" s="25">
        <v>987.92739148662099</v>
      </c>
      <c r="K25" s="25">
        <v>987.92739148662099</v>
      </c>
      <c r="L25" s="25">
        <v>646.50681846744897</v>
      </c>
      <c r="M25" s="25">
        <v>757.02306323954303</v>
      </c>
      <c r="N25" s="30">
        <v>707.98111865103499</v>
      </c>
      <c r="O25" s="30">
        <v>410.62228576608601</v>
      </c>
      <c r="P25" s="30">
        <v>410.62228576608601</v>
      </c>
      <c r="Q25" s="30">
        <v>410.98305392838898</v>
      </c>
      <c r="R25" s="30">
        <v>573.131043311236</v>
      </c>
      <c r="S25" s="25">
        <v>911.69538487561294</v>
      </c>
      <c r="T25" s="25">
        <v>1257.9163188795501</v>
      </c>
      <c r="U25" s="25">
        <v>1257.9163188795501</v>
      </c>
      <c r="V25" s="25">
        <v>1257.9163188795501</v>
      </c>
      <c r="W25" s="25">
        <v>1345.89347359965</v>
      </c>
      <c r="X25" s="25">
        <v>1345.89347359965</v>
      </c>
      <c r="Y25" s="25">
        <v>1345.89347359965</v>
      </c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</row>
    <row r="26" spans="1:46">
      <c r="A26" s="5"/>
      <c r="B26" s="8" t="s">
        <v>9</v>
      </c>
      <c r="C26" s="14">
        <v>795.141209505245</v>
      </c>
      <c r="E26" t="s">
        <v>24</v>
      </c>
      <c r="F26" s="25">
        <v>1228.4801056287699</v>
      </c>
      <c r="G26" s="25">
        <v>1228.4801056287699</v>
      </c>
      <c r="H26" s="25">
        <v>1228.4801056287699</v>
      </c>
      <c r="I26" s="25">
        <v>987.92739148662099</v>
      </c>
      <c r="J26" s="25">
        <v>987.92739148662099</v>
      </c>
      <c r="K26" s="25">
        <v>987.92739148662099</v>
      </c>
      <c r="L26" s="25">
        <v>646.50681846744897</v>
      </c>
      <c r="M26" s="25">
        <v>757.02306323954303</v>
      </c>
      <c r="N26" s="30">
        <v>707.98111865103499</v>
      </c>
      <c r="O26" s="30">
        <v>410.62228576608601</v>
      </c>
      <c r="P26" s="30">
        <v>410.62228576608601</v>
      </c>
      <c r="Q26" s="30">
        <v>410.98305392838898</v>
      </c>
      <c r="R26" s="30">
        <v>573.131043311236</v>
      </c>
      <c r="S26" s="25">
        <v>911.69538487561294</v>
      </c>
      <c r="T26" s="25">
        <v>1257.9163188795501</v>
      </c>
      <c r="U26" s="25">
        <v>1257.9163188795501</v>
      </c>
      <c r="V26" s="25">
        <v>1257.9163188795501</v>
      </c>
      <c r="W26" s="25">
        <v>1345.89347359965</v>
      </c>
      <c r="X26" s="25">
        <v>1345.89347359965</v>
      </c>
      <c r="Y26" s="25">
        <v>1345.89347359965</v>
      </c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</row>
    <row r="27" spans="1:46">
      <c r="A27" s="5"/>
      <c r="B27" s="8" t="s">
        <v>10</v>
      </c>
      <c r="C27" s="14">
        <v>795.141209505245</v>
      </c>
      <c r="E27" t="s">
        <v>25</v>
      </c>
      <c r="F27" s="25">
        <v>1228.4801056287699</v>
      </c>
      <c r="G27" s="25">
        <v>1228.4801056287699</v>
      </c>
      <c r="H27" s="25">
        <v>1228.4801056287699</v>
      </c>
      <c r="I27" s="25">
        <v>987.92739148662099</v>
      </c>
      <c r="J27" s="25">
        <v>987.92739148662099</v>
      </c>
      <c r="K27" s="25">
        <v>987.92739148662099</v>
      </c>
      <c r="L27" s="25">
        <v>646.50681846744897</v>
      </c>
      <c r="M27" s="25">
        <v>757.02306323954303</v>
      </c>
      <c r="N27" s="30">
        <v>707.98111865103499</v>
      </c>
      <c r="O27" s="30">
        <v>410.62228576608601</v>
      </c>
      <c r="P27" s="30">
        <v>410.62228576608601</v>
      </c>
      <c r="Q27" s="30">
        <v>410.98305392838898</v>
      </c>
      <c r="R27" s="30">
        <v>573.131043311236</v>
      </c>
      <c r="S27" s="25">
        <v>911.69538487561294</v>
      </c>
      <c r="T27" s="25">
        <v>1257.9163188795501</v>
      </c>
      <c r="U27" s="25">
        <v>1257.9163188795501</v>
      </c>
      <c r="V27" s="25">
        <v>1257.9163188795501</v>
      </c>
      <c r="W27" s="25">
        <v>1345.89347359965</v>
      </c>
      <c r="X27" s="25">
        <v>1345.89347359965</v>
      </c>
      <c r="Y27" s="25">
        <v>1345.89347359965</v>
      </c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</row>
    <row r="28" spans="1:46">
      <c r="A28" s="5"/>
      <c r="B28" s="4">
        <v>9</v>
      </c>
      <c r="C28" s="14">
        <v>520.34614893715798</v>
      </c>
      <c r="E28" t="s">
        <v>26</v>
      </c>
      <c r="F28" s="25">
        <v>1228.4801056287699</v>
      </c>
      <c r="G28" s="25">
        <v>1228.4801056287699</v>
      </c>
      <c r="H28" s="25">
        <v>1228.4801056287699</v>
      </c>
      <c r="I28" s="25">
        <v>987.92739148662099</v>
      </c>
      <c r="J28" s="25">
        <v>987.92739148662099</v>
      </c>
      <c r="K28" s="25">
        <v>987.92739148662099</v>
      </c>
      <c r="L28" s="25">
        <v>646.50681846744897</v>
      </c>
      <c r="M28" s="25">
        <v>757.02306323954303</v>
      </c>
      <c r="N28" s="30">
        <v>707.98111865103499</v>
      </c>
      <c r="O28" s="30">
        <v>410.62228576608601</v>
      </c>
      <c r="P28" s="30">
        <v>410.62228576608601</v>
      </c>
      <c r="Q28" s="30">
        <v>410.98305392838898</v>
      </c>
      <c r="R28" s="30">
        <v>573.131043311236</v>
      </c>
      <c r="S28" s="25">
        <v>911.69538487561294</v>
      </c>
      <c r="T28" s="25">
        <v>1257.9163188795501</v>
      </c>
      <c r="U28" s="25">
        <v>1257.9163188795501</v>
      </c>
      <c r="V28" s="25">
        <v>1257.9163188795501</v>
      </c>
      <c r="W28" s="25">
        <v>1345.89347359965</v>
      </c>
      <c r="X28" s="25">
        <v>1345.89347359965</v>
      </c>
      <c r="Y28" s="25">
        <v>1345.89347359965</v>
      </c>
    </row>
    <row r="29" spans="1:46">
      <c r="A29" s="5"/>
      <c r="B29" s="4">
        <v>10</v>
      </c>
      <c r="C29" s="14">
        <v>609.29602652464496</v>
      </c>
      <c r="E29" t="s">
        <v>27</v>
      </c>
      <c r="F29" s="25">
        <v>1228.4801056287699</v>
      </c>
      <c r="G29" s="25">
        <v>1228.4801056287699</v>
      </c>
      <c r="H29" s="25">
        <v>1228.4801056287699</v>
      </c>
      <c r="I29" s="25">
        <v>987.92739148662099</v>
      </c>
      <c r="J29" s="25">
        <v>987.92739148662099</v>
      </c>
      <c r="K29" s="25">
        <v>987.92739148662099</v>
      </c>
      <c r="L29" s="25">
        <v>646.50681846744897</v>
      </c>
      <c r="M29" s="25">
        <v>757.02306323954303</v>
      </c>
      <c r="N29" s="30">
        <v>707.98111865103499</v>
      </c>
      <c r="O29" s="30">
        <v>410.62228576608601</v>
      </c>
      <c r="P29" s="30">
        <v>410.62228576608601</v>
      </c>
      <c r="Q29" s="30">
        <v>410.98305392838898</v>
      </c>
      <c r="R29" s="30">
        <v>573.131043311236</v>
      </c>
      <c r="S29" s="25">
        <v>911.69538487561294</v>
      </c>
      <c r="T29" s="25">
        <v>1257.9163188795501</v>
      </c>
      <c r="U29" s="25">
        <v>1257.9163188795501</v>
      </c>
      <c r="V29" s="25">
        <v>1257.9163188795501</v>
      </c>
      <c r="W29" s="25">
        <v>1345.89347359965</v>
      </c>
      <c r="X29" s="25">
        <v>1345.89347359965</v>
      </c>
      <c r="Y29" s="25">
        <v>1345.89347359965</v>
      </c>
    </row>
    <row r="30" spans="1:46">
      <c r="A30" s="5"/>
      <c r="B30" s="4">
        <v>11</v>
      </c>
      <c r="C30" s="14">
        <v>569.824227814908</v>
      </c>
      <c r="E30" t="s">
        <v>28</v>
      </c>
      <c r="F30" s="25">
        <v>1228.4801056287699</v>
      </c>
      <c r="G30" s="25">
        <v>1228.4801056287699</v>
      </c>
      <c r="H30" s="25">
        <v>1228.4801056287699</v>
      </c>
      <c r="I30" s="25">
        <v>987.92739148662099</v>
      </c>
      <c r="J30" s="25">
        <v>987.92739148662099</v>
      </c>
      <c r="K30" s="25">
        <v>987.92739148662099</v>
      </c>
      <c r="L30" s="25">
        <v>646.50681846744897</v>
      </c>
      <c r="M30" s="25">
        <v>757.02306323954303</v>
      </c>
      <c r="N30" s="30">
        <v>707.98111865103499</v>
      </c>
      <c r="O30" s="30">
        <v>410.62228576608601</v>
      </c>
      <c r="P30" s="30">
        <v>410.62228576608601</v>
      </c>
      <c r="Q30" s="30">
        <v>410.98305392838898</v>
      </c>
      <c r="R30" s="30">
        <v>573.131043311236</v>
      </c>
      <c r="S30" s="25">
        <v>911.69538487561294</v>
      </c>
      <c r="T30" s="25">
        <v>1257.9163188795501</v>
      </c>
      <c r="U30" s="25">
        <v>1257.9163188795501</v>
      </c>
      <c r="V30" s="25">
        <v>1257.9163188795501</v>
      </c>
      <c r="W30" s="25">
        <v>1345.89347359965</v>
      </c>
      <c r="X30" s="25">
        <v>1345.89347359965</v>
      </c>
      <c r="Y30" s="25">
        <v>1345.89347359965</v>
      </c>
    </row>
    <row r="31" spans="1:46">
      <c r="A31" s="5"/>
      <c r="B31" s="4">
        <v>12</v>
      </c>
      <c r="C31" s="14">
        <v>330.49260883690698</v>
      </c>
      <c r="E31" t="s">
        <v>29</v>
      </c>
      <c r="F31" s="25">
        <v>1228.4801056287699</v>
      </c>
      <c r="G31" s="25">
        <v>1228.4801056287699</v>
      </c>
      <c r="H31" s="25">
        <v>1228.4801056287699</v>
      </c>
      <c r="I31" s="25">
        <v>987.92739148662099</v>
      </c>
      <c r="J31" s="25">
        <v>987.92739148662099</v>
      </c>
      <c r="K31" s="25">
        <v>987.92739148662099</v>
      </c>
      <c r="L31" s="25">
        <v>646.50681846744897</v>
      </c>
      <c r="M31" s="25">
        <v>757.02306323954303</v>
      </c>
      <c r="N31" s="30">
        <v>707.98111865103499</v>
      </c>
      <c r="O31" s="30">
        <v>410.62228576608601</v>
      </c>
      <c r="P31" s="30">
        <v>410.62228576608601</v>
      </c>
      <c r="Q31" s="30">
        <v>410.98305392838898</v>
      </c>
      <c r="R31" s="30">
        <v>573.131043311236</v>
      </c>
      <c r="S31" s="25">
        <v>911.69538487561294</v>
      </c>
      <c r="T31" s="25">
        <v>1257.9163188795501</v>
      </c>
      <c r="U31" s="25">
        <v>1257.9163188795501</v>
      </c>
      <c r="V31" s="25">
        <v>1257.9163188795501</v>
      </c>
      <c r="W31" s="25">
        <v>1345.89347359965</v>
      </c>
      <c r="X31" s="25">
        <v>1345.89347359965</v>
      </c>
      <c r="Y31" s="25">
        <v>1345.89347359965</v>
      </c>
    </row>
    <row r="32" spans="1:46">
      <c r="A32" s="5"/>
      <c r="B32" s="4">
        <v>1</v>
      </c>
      <c r="C32" s="14">
        <v>330.49260883690698</v>
      </c>
      <c r="E32" t="s">
        <v>30</v>
      </c>
      <c r="F32" s="25">
        <v>1228.4801056287699</v>
      </c>
      <c r="G32" s="25">
        <v>1228.4801056287699</v>
      </c>
      <c r="H32" s="25">
        <v>1228.4801056287699</v>
      </c>
      <c r="I32" s="25">
        <v>987.92739148662099</v>
      </c>
      <c r="J32" s="25">
        <v>987.92739148662099</v>
      </c>
      <c r="K32" s="25">
        <v>987.92739148662099</v>
      </c>
      <c r="L32" s="25">
        <v>646.50681846744897</v>
      </c>
      <c r="M32" s="25">
        <v>757.02306323954303</v>
      </c>
      <c r="N32" s="30">
        <v>707.98111865103499</v>
      </c>
      <c r="O32" s="30">
        <v>410.62228576608601</v>
      </c>
      <c r="P32" s="30">
        <v>410.62228576608601</v>
      </c>
      <c r="Q32" s="30">
        <v>410.98305392838898</v>
      </c>
      <c r="R32" s="30">
        <v>573.131043311236</v>
      </c>
      <c r="S32" s="25">
        <v>911.69538487561294</v>
      </c>
      <c r="T32" s="25">
        <v>1257.9163188795501</v>
      </c>
      <c r="U32" s="25">
        <v>1257.9163188795501</v>
      </c>
      <c r="V32" s="25">
        <v>1257.9163188795501</v>
      </c>
      <c r="W32" s="25">
        <v>1345.89347359965</v>
      </c>
      <c r="X32" s="25">
        <v>1345.89347359965</v>
      </c>
      <c r="Y32" s="25">
        <v>1345.89347359965</v>
      </c>
    </row>
    <row r="33" spans="1:25">
      <c r="A33" s="5"/>
      <c r="B33" s="4">
        <v>2</v>
      </c>
      <c r="C33" s="14">
        <v>330.78297595841502</v>
      </c>
      <c r="E33" t="s">
        <v>31</v>
      </c>
      <c r="F33" s="25">
        <v>1228.4801056287699</v>
      </c>
      <c r="G33" s="25">
        <v>1228.4801056287699</v>
      </c>
      <c r="H33" s="25">
        <v>1228.4801056287699</v>
      </c>
      <c r="I33" s="25">
        <v>987.92739148662099</v>
      </c>
      <c r="J33" s="25">
        <v>987.92739148662099</v>
      </c>
      <c r="K33" s="25">
        <v>987.92739148662099</v>
      </c>
      <c r="L33" s="25">
        <v>646.50681846744897</v>
      </c>
      <c r="M33" s="25">
        <v>757.02306323954303</v>
      </c>
      <c r="N33" s="30">
        <v>707.98111865103499</v>
      </c>
      <c r="O33" s="30">
        <v>410.62228576608601</v>
      </c>
      <c r="P33" s="30">
        <v>410.62228576608601</v>
      </c>
      <c r="Q33" s="30">
        <v>410.98305392838898</v>
      </c>
      <c r="R33" s="30">
        <v>573.131043311236</v>
      </c>
      <c r="S33" s="25">
        <v>911.69538487561294</v>
      </c>
      <c r="T33" s="25">
        <v>1257.9163188795501</v>
      </c>
      <c r="U33" s="25">
        <v>1257.9163188795501</v>
      </c>
      <c r="V33" s="25">
        <v>1257.9163188795501</v>
      </c>
      <c r="W33" s="25">
        <v>1345.89347359965</v>
      </c>
      <c r="X33" s="25">
        <v>1345.89347359965</v>
      </c>
      <c r="Y33" s="25">
        <v>1345.89347359965</v>
      </c>
    </row>
    <row r="34" spans="1:25">
      <c r="A34" s="5"/>
      <c r="B34" s="4">
        <v>3</v>
      </c>
      <c r="C34" s="14">
        <v>461.28907337789002</v>
      </c>
      <c r="E34" t="s">
        <v>32</v>
      </c>
      <c r="F34" s="25">
        <v>1228.4801056287699</v>
      </c>
      <c r="G34" s="25">
        <v>1228.4801056287699</v>
      </c>
      <c r="H34" s="25">
        <v>1228.4801056287699</v>
      </c>
      <c r="I34" s="25">
        <v>987.92739148662099</v>
      </c>
      <c r="J34" s="25">
        <v>987.92739148662099</v>
      </c>
      <c r="K34" s="25">
        <v>987.92739148662099</v>
      </c>
      <c r="L34" s="25">
        <v>646.50681846744897</v>
      </c>
      <c r="M34" s="25">
        <v>757.02306323954303</v>
      </c>
      <c r="N34" s="30">
        <v>707.98111865103499</v>
      </c>
      <c r="O34" s="30">
        <v>410.62228576608601</v>
      </c>
      <c r="P34" s="30">
        <v>410.62228576608601</v>
      </c>
      <c r="Q34" s="30">
        <v>410.98305392838898</v>
      </c>
      <c r="R34" s="30">
        <v>573.131043311236</v>
      </c>
      <c r="S34" s="25">
        <v>911.69538487561294</v>
      </c>
      <c r="T34" s="25">
        <v>1257.9163188795501</v>
      </c>
      <c r="U34" s="25">
        <v>1257.9163188795501</v>
      </c>
      <c r="V34" s="25">
        <v>1257.9163188795501</v>
      </c>
      <c r="W34" s="25">
        <v>1345.89347359965</v>
      </c>
      <c r="X34" s="25">
        <v>1345.89347359965</v>
      </c>
      <c r="Y34" s="25">
        <v>1345.89347359965</v>
      </c>
    </row>
    <row r="35" spans="1:25">
      <c r="A35" s="5"/>
      <c r="B35" s="4">
        <v>4</v>
      </c>
      <c r="C35" s="14">
        <v>733.785273368606</v>
      </c>
      <c r="E35" t="s">
        <v>33</v>
      </c>
      <c r="F35" s="25">
        <v>1228.4801056287699</v>
      </c>
      <c r="G35" s="25">
        <v>1228.4801056287699</v>
      </c>
      <c r="H35" s="25">
        <v>1228.4801056287699</v>
      </c>
      <c r="I35" s="25">
        <v>987.92739148662099</v>
      </c>
      <c r="J35" s="25">
        <v>987.92739148662099</v>
      </c>
      <c r="K35" s="25">
        <v>987.92739148662099</v>
      </c>
      <c r="L35" s="25">
        <v>646.50681846744897</v>
      </c>
      <c r="M35" s="25">
        <v>757.02306323954303</v>
      </c>
      <c r="N35" s="30">
        <v>707.98111865103499</v>
      </c>
      <c r="O35" s="30">
        <v>410.62228576608601</v>
      </c>
      <c r="P35" s="30">
        <v>410.62228576608601</v>
      </c>
      <c r="Q35" s="30">
        <v>410.98305392838898</v>
      </c>
      <c r="R35" s="30">
        <v>573.131043311236</v>
      </c>
      <c r="S35" s="25">
        <v>911.69538487561294</v>
      </c>
      <c r="T35" s="25">
        <v>1257.9163188795501</v>
      </c>
      <c r="U35" s="25">
        <v>1257.9163188795501</v>
      </c>
      <c r="V35" s="25">
        <v>1257.9163188795501</v>
      </c>
      <c r="W35" s="25">
        <v>1345.89347359965</v>
      </c>
      <c r="X35" s="25">
        <v>1345.89347359965</v>
      </c>
      <c r="Y35" s="25">
        <v>1345.89347359965</v>
      </c>
    </row>
    <row r="36" spans="1:25">
      <c r="A36" s="5"/>
      <c r="B36" s="8" t="s">
        <v>11</v>
      </c>
      <c r="C36" s="14">
        <v>1012.44394261116</v>
      </c>
      <c r="E36" t="s">
        <v>34</v>
      </c>
      <c r="F36" s="25">
        <v>1228.4801056287699</v>
      </c>
      <c r="G36" s="25">
        <v>1228.4801056287699</v>
      </c>
      <c r="H36" s="25">
        <v>1228.4801056287699</v>
      </c>
      <c r="I36" s="25">
        <v>987.92739148662099</v>
      </c>
      <c r="J36" s="25">
        <v>987.92739148662099</v>
      </c>
      <c r="K36" s="25">
        <v>987.92739148662099</v>
      </c>
      <c r="L36" s="25">
        <v>646.50681846744897</v>
      </c>
      <c r="M36" s="25">
        <v>757.02306323954303</v>
      </c>
      <c r="N36" s="30">
        <v>707.98111865103499</v>
      </c>
      <c r="O36" s="30">
        <v>410.62228576608601</v>
      </c>
      <c r="P36" s="30">
        <v>410.62228576608601</v>
      </c>
      <c r="Q36" s="30">
        <v>410.98305392838898</v>
      </c>
      <c r="R36" s="30">
        <v>573.131043311236</v>
      </c>
      <c r="S36" s="25">
        <v>911.69538487561294</v>
      </c>
      <c r="T36" s="25">
        <v>1257.9163188795501</v>
      </c>
      <c r="U36" s="25">
        <v>1257.9163188795501</v>
      </c>
      <c r="V36" s="25">
        <v>1257.9163188795501</v>
      </c>
      <c r="W36" s="25">
        <v>1345.89347359965</v>
      </c>
      <c r="X36" s="25">
        <v>1345.89347359965</v>
      </c>
      <c r="Y36" s="25">
        <v>1345.89347359965</v>
      </c>
    </row>
    <row r="37" spans="1:25">
      <c r="A37" s="5"/>
      <c r="B37" s="8" t="s">
        <v>12</v>
      </c>
      <c r="C37" s="14">
        <v>1012.44394261116</v>
      </c>
      <c r="E37" t="s">
        <v>35</v>
      </c>
      <c r="F37" s="25">
        <v>1228.4801056287699</v>
      </c>
      <c r="G37" s="25">
        <v>1228.4801056287699</v>
      </c>
      <c r="H37" s="25">
        <v>1228.4801056287699</v>
      </c>
      <c r="I37" s="25">
        <v>987.92739148662099</v>
      </c>
      <c r="J37" s="25">
        <v>987.92739148662099</v>
      </c>
      <c r="K37" s="25">
        <v>987.92739148662099</v>
      </c>
      <c r="L37" s="25">
        <v>646.50681846744897</v>
      </c>
      <c r="M37" s="25">
        <v>757.02306323954303</v>
      </c>
      <c r="N37" s="30">
        <v>707.98111865103499</v>
      </c>
      <c r="O37" s="30">
        <v>410.62228576608601</v>
      </c>
      <c r="P37" s="30">
        <v>410.62228576608601</v>
      </c>
      <c r="Q37" s="30">
        <v>410.98305392838898</v>
      </c>
      <c r="R37" s="30">
        <v>573.131043311236</v>
      </c>
      <c r="S37" s="25">
        <v>911.69538487561294</v>
      </c>
      <c r="T37" s="25">
        <v>1257.9163188795501</v>
      </c>
      <c r="U37" s="25">
        <v>1257.9163188795501</v>
      </c>
      <c r="V37" s="25">
        <v>1257.9163188795501</v>
      </c>
      <c r="W37" s="25">
        <v>1345.89347359965</v>
      </c>
      <c r="X37" s="25">
        <v>1345.89347359965</v>
      </c>
      <c r="Y37" s="25">
        <v>1345.89347359965</v>
      </c>
    </row>
    <row r="38" spans="1:25">
      <c r="A38" s="5"/>
      <c r="B38" s="8" t="s">
        <v>13</v>
      </c>
      <c r="C38" s="14">
        <v>1012.44394261116</v>
      </c>
      <c r="E38" t="s">
        <v>36</v>
      </c>
      <c r="F38" s="25">
        <v>1228.4801056287699</v>
      </c>
      <c r="G38" s="25">
        <v>1228.4801056287699</v>
      </c>
      <c r="H38" s="25">
        <v>1228.4801056287699</v>
      </c>
      <c r="I38" s="25">
        <v>987.92739148662099</v>
      </c>
      <c r="J38" s="25">
        <v>987.92739148662099</v>
      </c>
      <c r="K38" s="25">
        <v>987.92739148662099</v>
      </c>
      <c r="L38" s="25">
        <v>646.50681846744897</v>
      </c>
      <c r="M38" s="25">
        <v>757.02306323954303</v>
      </c>
      <c r="N38" s="30">
        <v>707.98111865103499</v>
      </c>
      <c r="O38" s="30">
        <v>410.62228576608601</v>
      </c>
      <c r="P38" s="30">
        <v>410.62228576608601</v>
      </c>
      <c r="Q38" s="30">
        <v>410.98305392838898</v>
      </c>
      <c r="R38" s="30">
        <v>573.131043311236</v>
      </c>
      <c r="S38" s="25">
        <v>911.69538487561294</v>
      </c>
      <c r="T38" s="25">
        <v>1257.9163188795501</v>
      </c>
      <c r="U38" s="25">
        <v>1257.9163188795501</v>
      </c>
      <c r="V38" s="25">
        <v>1257.9163188795501</v>
      </c>
      <c r="W38" s="25">
        <v>1345.89347359965</v>
      </c>
      <c r="X38" s="25">
        <v>1345.89347359965</v>
      </c>
      <c r="Y38" s="25">
        <v>1345.89347359965</v>
      </c>
    </row>
    <row r="39" spans="1:25">
      <c r="A39" s="5"/>
      <c r="B39" s="8" t="s">
        <v>14</v>
      </c>
      <c r="C39" s="14">
        <v>1083.25305451128</v>
      </c>
      <c r="E39" t="s">
        <v>37</v>
      </c>
      <c r="F39" s="25">
        <v>1228.4801056287699</v>
      </c>
      <c r="G39" s="25">
        <v>1228.4801056287699</v>
      </c>
      <c r="H39" s="25">
        <v>1228.4801056287699</v>
      </c>
      <c r="I39" s="25">
        <v>987.92739148662099</v>
      </c>
      <c r="J39" s="25">
        <v>987.92739148662099</v>
      </c>
      <c r="K39" s="25">
        <v>987.92739148662099</v>
      </c>
      <c r="L39" s="25">
        <v>646.50681846744897</v>
      </c>
      <c r="M39" s="25">
        <v>757.02306323954303</v>
      </c>
      <c r="N39" s="30">
        <v>707.98111865103499</v>
      </c>
      <c r="O39" s="30">
        <v>410.62228576608601</v>
      </c>
      <c r="P39" s="30">
        <v>410.62228576608601</v>
      </c>
      <c r="Q39" s="30">
        <v>410.98305392838898</v>
      </c>
      <c r="R39" s="30">
        <v>573.131043311236</v>
      </c>
      <c r="S39" s="25">
        <v>911.69538487561294</v>
      </c>
      <c r="T39" s="25">
        <v>1257.9163188795501</v>
      </c>
      <c r="U39" s="25">
        <v>1257.9163188795501</v>
      </c>
      <c r="V39" s="25">
        <v>1257.9163188795501</v>
      </c>
      <c r="W39" s="25">
        <v>1345.89347359965</v>
      </c>
      <c r="X39" s="25">
        <v>1345.89347359965</v>
      </c>
      <c r="Y39" s="25">
        <v>1345.89347359965</v>
      </c>
    </row>
    <row r="40" spans="1:25">
      <c r="A40" s="5"/>
      <c r="B40" s="8" t="s">
        <v>15</v>
      </c>
      <c r="C40" s="14">
        <v>1083.25305451128</v>
      </c>
      <c r="E40" t="s">
        <v>38</v>
      </c>
      <c r="F40" s="25">
        <v>1228.4801056287699</v>
      </c>
      <c r="G40" s="25">
        <v>1228.4801056287699</v>
      </c>
      <c r="H40" s="25">
        <v>1228.4801056287699</v>
      </c>
      <c r="I40" s="25">
        <v>987.92739148662099</v>
      </c>
      <c r="J40" s="25">
        <v>987.92739148662099</v>
      </c>
      <c r="K40" s="25">
        <v>987.92739148662099</v>
      </c>
      <c r="L40" s="25">
        <v>646.50681846744897</v>
      </c>
      <c r="M40" s="25">
        <v>757.02306323954303</v>
      </c>
      <c r="N40" s="30">
        <v>707.98111865103499</v>
      </c>
      <c r="O40" s="30">
        <v>410.62228576608601</v>
      </c>
      <c r="P40" s="30">
        <v>410.62228576608601</v>
      </c>
      <c r="Q40" s="30">
        <v>410.98305392838898</v>
      </c>
      <c r="R40" s="30">
        <v>573.131043311236</v>
      </c>
      <c r="S40" s="25">
        <v>911.69538487561294</v>
      </c>
      <c r="T40" s="25">
        <v>1257.9163188795501</v>
      </c>
      <c r="U40" s="25">
        <v>1257.9163188795501</v>
      </c>
      <c r="V40" s="25">
        <v>1257.9163188795501</v>
      </c>
      <c r="W40" s="25">
        <v>1345.89347359965</v>
      </c>
      <c r="X40" s="25">
        <v>1345.89347359965</v>
      </c>
      <c r="Y40" s="25">
        <v>1345.89347359965</v>
      </c>
    </row>
    <row r="41" spans="1:25">
      <c r="A41" s="5"/>
      <c r="B41" s="8" t="s">
        <v>16</v>
      </c>
      <c r="C41" s="14">
        <v>1083.25305451128</v>
      </c>
      <c r="E41" t="s">
        <v>39</v>
      </c>
      <c r="F41" s="25">
        <v>1228.4801056287699</v>
      </c>
      <c r="G41" s="25">
        <v>1228.4801056287699</v>
      </c>
      <c r="H41" s="25">
        <v>1228.4801056287699</v>
      </c>
      <c r="I41" s="25">
        <v>987.92739148662099</v>
      </c>
      <c r="J41" s="25">
        <v>987.92739148662099</v>
      </c>
      <c r="K41" s="25">
        <v>987.92739148662099</v>
      </c>
      <c r="L41" s="25">
        <v>646.50681846744897</v>
      </c>
      <c r="M41" s="25">
        <v>757.02306323954303</v>
      </c>
      <c r="N41" s="30">
        <v>707.98111865103499</v>
      </c>
      <c r="O41" s="30">
        <v>410.62228576608601</v>
      </c>
      <c r="P41" s="30">
        <v>410.62228576608601</v>
      </c>
      <c r="Q41" s="30">
        <v>410.98305392838898</v>
      </c>
      <c r="R41" s="30">
        <v>573.131043311236</v>
      </c>
      <c r="S41" s="25">
        <v>911.69538487561294</v>
      </c>
      <c r="T41" s="25">
        <v>1257.9163188795501</v>
      </c>
      <c r="U41" s="25">
        <v>1257.9163188795501</v>
      </c>
      <c r="V41" s="25">
        <v>1257.9163188795501</v>
      </c>
      <c r="W41" s="25">
        <v>1345.89347359965</v>
      </c>
      <c r="X41" s="25">
        <v>1345.89347359965</v>
      </c>
      <c r="Y41" s="25">
        <v>1345.89347359965</v>
      </c>
    </row>
    <row r="42" spans="1:25">
      <c r="A42" s="5">
        <v>1972</v>
      </c>
      <c r="B42" s="4" t="s">
        <v>5</v>
      </c>
      <c r="C42" s="25">
        <v>1235.9399656548801</v>
      </c>
      <c r="E42" t="s">
        <v>40</v>
      </c>
      <c r="F42" s="25">
        <v>1228.4801056287699</v>
      </c>
      <c r="G42" s="25">
        <v>1228.4801056287699</v>
      </c>
      <c r="H42" s="25">
        <v>1228.4801056287699</v>
      </c>
      <c r="I42" s="25">
        <v>987.92739148662099</v>
      </c>
      <c r="J42" s="25">
        <v>987.92739148662099</v>
      </c>
      <c r="K42" s="25">
        <v>987.92739148662099</v>
      </c>
      <c r="L42" s="25">
        <v>646.50681846744897</v>
      </c>
      <c r="M42" s="25">
        <v>757.02306323954303</v>
      </c>
      <c r="N42" s="30">
        <v>707.98111865103499</v>
      </c>
      <c r="O42" s="30">
        <v>410.62228576608601</v>
      </c>
      <c r="P42" s="30">
        <v>410.62228576608601</v>
      </c>
      <c r="Q42" s="30">
        <v>410.98305392838898</v>
      </c>
      <c r="R42" s="30">
        <v>573.131043311236</v>
      </c>
      <c r="S42" s="25">
        <v>911.69538487561294</v>
      </c>
      <c r="T42" s="25">
        <v>1257.9163188795501</v>
      </c>
      <c r="U42" s="25">
        <v>1257.9163188795501</v>
      </c>
      <c r="V42" s="25">
        <v>1257.9163188795501</v>
      </c>
      <c r="W42" s="25">
        <v>1345.89347359965</v>
      </c>
      <c r="X42" s="25">
        <v>1345.89347359965</v>
      </c>
      <c r="Y42" s="25">
        <v>1345.89347359965</v>
      </c>
    </row>
    <row r="43" spans="1:25">
      <c r="A43" s="5"/>
      <c r="B43" s="4" t="s">
        <v>6</v>
      </c>
      <c r="C43" s="25">
        <v>1235.9399656548801</v>
      </c>
      <c r="E43" t="s">
        <v>41</v>
      </c>
      <c r="F43" s="25">
        <v>1228.4801056287699</v>
      </c>
      <c r="G43" s="25">
        <v>1228.4801056287699</v>
      </c>
      <c r="H43" s="25">
        <v>1228.4801056287699</v>
      </c>
      <c r="I43" s="25">
        <v>987.92739148662099</v>
      </c>
      <c r="J43" s="25">
        <v>987.92739148662099</v>
      </c>
      <c r="K43" s="25">
        <v>987.92739148662099</v>
      </c>
      <c r="L43" s="25">
        <v>646.50681846744897</v>
      </c>
      <c r="M43" s="25">
        <v>757.02306323954303</v>
      </c>
      <c r="N43" s="30">
        <v>707.98111865103499</v>
      </c>
      <c r="O43" s="30">
        <v>410.62228576608601</v>
      </c>
      <c r="P43" s="30">
        <v>410.62228576608601</v>
      </c>
      <c r="Q43" s="30">
        <v>410.98305392838898</v>
      </c>
      <c r="R43" s="30">
        <v>573.131043311236</v>
      </c>
      <c r="S43" s="25">
        <v>911.69538487561294</v>
      </c>
      <c r="T43" s="25">
        <v>1257.9163188795501</v>
      </c>
      <c r="U43" s="25">
        <v>1257.9163188795501</v>
      </c>
      <c r="V43" s="25">
        <v>1257.9163188795501</v>
      </c>
      <c r="W43" s="25">
        <v>1345.89347359965</v>
      </c>
      <c r="X43" s="25">
        <v>1345.89347359965</v>
      </c>
      <c r="Y43" s="25">
        <v>1345.89347359965</v>
      </c>
    </row>
    <row r="44" spans="1:25">
      <c r="A44" s="5"/>
      <c r="B44" s="4" t="s">
        <v>7</v>
      </c>
      <c r="C44" s="25">
        <v>1235.9399656548801</v>
      </c>
      <c r="E44" t="s">
        <v>42</v>
      </c>
      <c r="F44" s="25">
        <v>1228.4801056287699</v>
      </c>
      <c r="G44" s="25">
        <v>1228.4801056287699</v>
      </c>
      <c r="H44" s="25">
        <v>1228.4801056287699</v>
      </c>
      <c r="I44" s="25">
        <v>987.92739148662099</v>
      </c>
      <c r="J44" s="25">
        <v>987.92739148662099</v>
      </c>
      <c r="K44" s="25">
        <v>987.92739148662099</v>
      </c>
      <c r="L44" s="25">
        <v>646.50681846744897</v>
      </c>
      <c r="M44" s="25">
        <v>757.02306323954303</v>
      </c>
      <c r="N44" s="30">
        <v>707.98111865103499</v>
      </c>
      <c r="O44" s="30">
        <v>410.62228576608601</v>
      </c>
      <c r="P44" s="30">
        <v>410.62228576608601</v>
      </c>
      <c r="Q44" s="30">
        <v>410.98305392838898</v>
      </c>
      <c r="R44" s="30">
        <v>573.131043311236</v>
      </c>
      <c r="S44" s="25">
        <v>911.69538487561294</v>
      </c>
      <c r="T44" s="25">
        <v>1257.9163188795501</v>
      </c>
      <c r="U44" s="25">
        <v>1257.9163188795501</v>
      </c>
      <c r="V44" s="25">
        <v>1257.9163188795501</v>
      </c>
      <c r="W44" s="25">
        <v>1345.89347359965</v>
      </c>
      <c r="X44" s="25">
        <v>1345.89347359965</v>
      </c>
      <c r="Y44" s="25">
        <v>1345.89347359965</v>
      </c>
    </row>
    <row r="45" spans="1:25">
      <c r="A45" s="5"/>
      <c r="B45" s="8" t="s">
        <v>8</v>
      </c>
      <c r="C45" s="25">
        <v>993.92651188155605</v>
      </c>
      <c r="E45" t="s">
        <v>43</v>
      </c>
      <c r="F45" s="25">
        <v>1228.4801056287699</v>
      </c>
      <c r="G45" s="25">
        <v>1228.4801056287699</v>
      </c>
      <c r="H45" s="25">
        <v>1228.4801056287699</v>
      </c>
      <c r="I45" s="25">
        <v>987.92739148662099</v>
      </c>
      <c r="J45" s="25">
        <v>987.92739148662099</v>
      </c>
      <c r="K45" s="25">
        <v>987.92739148662099</v>
      </c>
      <c r="L45" s="25">
        <v>646.50681846744897</v>
      </c>
      <c r="M45" s="25">
        <v>757.02306323954303</v>
      </c>
      <c r="N45" s="30">
        <v>707.98111865103499</v>
      </c>
      <c r="O45" s="30">
        <v>410.62228576608601</v>
      </c>
      <c r="P45" s="30">
        <v>410.62228576608601</v>
      </c>
      <c r="Q45" s="30">
        <v>410.98305392838898</v>
      </c>
      <c r="R45" s="30">
        <v>573.131043311236</v>
      </c>
      <c r="S45" s="25">
        <v>911.69538487561294</v>
      </c>
      <c r="T45" s="25">
        <v>1257.9163188795501</v>
      </c>
      <c r="U45" s="25">
        <v>1257.9163188795501</v>
      </c>
      <c r="V45" s="25">
        <v>1257.9163188795501</v>
      </c>
      <c r="W45" s="25">
        <v>1345.89347359965</v>
      </c>
      <c r="X45" s="25">
        <v>1345.89347359965</v>
      </c>
      <c r="Y45" s="25">
        <v>1345.89347359965</v>
      </c>
    </row>
    <row r="46" spans="1:25">
      <c r="A46" s="5"/>
      <c r="B46" s="8" t="s">
        <v>9</v>
      </c>
      <c r="C46" s="25">
        <v>993.92651188155605</v>
      </c>
      <c r="E46" t="s">
        <v>44</v>
      </c>
      <c r="F46" s="25">
        <v>1228.4801056287699</v>
      </c>
      <c r="G46" s="25">
        <v>1228.4801056287699</v>
      </c>
      <c r="H46" s="25">
        <v>1228.4801056287699</v>
      </c>
      <c r="I46" s="25">
        <v>987.92739148662099</v>
      </c>
      <c r="J46" s="25">
        <v>987.92739148662099</v>
      </c>
      <c r="K46" s="25">
        <v>987.92739148662099</v>
      </c>
      <c r="L46" s="25">
        <v>646.50681846744897</v>
      </c>
      <c r="M46" s="25">
        <v>757.02306323954303</v>
      </c>
      <c r="N46" s="30">
        <v>707.98111865103499</v>
      </c>
      <c r="O46" s="30">
        <v>410.62228576608601</v>
      </c>
      <c r="P46" s="30">
        <v>410.62228576608601</v>
      </c>
      <c r="Q46" s="30">
        <v>410.98305392838898</v>
      </c>
      <c r="R46" s="30">
        <v>573.131043311236</v>
      </c>
      <c r="S46" s="25">
        <v>911.69538487561294</v>
      </c>
      <c r="T46" s="25">
        <v>1257.9163188795501</v>
      </c>
      <c r="U46" s="25">
        <v>1257.9163188795501</v>
      </c>
      <c r="V46" s="25">
        <v>1257.9163188795501</v>
      </c>
      <c r="W46" s="25">
        <v>1345.89347359965</v>
      </c>
      <c r="X46" s="25">
        <v>1345.89347359965</v>
      </c>
      <c r="Y46" s="25">
        <v>1345.89347359965</v>
      </c>
    </row>
    <row r="47" spans="1:25">
      <c r="A47" s="5"/>
      <c r="B47" s="8" t="s">
        <v>10</v>
      </c>
      <c r="C47" s="25">
        <v>993.92651188155605</v>
      </c>
      <c r="E47" t="s">
        <v>45</v>
      </c>
      <c r="F47" s="25">
        <v>1228.4801056287699</v>
      </c>
      <c r="G47" s="25">
        <v>1228.4801056287699</v>
      </c>
      <c r="H47" s="25">
        <v>1228.4801056287699</v>
      </c>
      <c r="I47" s="25">
        <v>987.92739148662099</v>
      </c>
      <c r="J47" s="25">
        <v>987.92739148662099</v>
      </c>
      <c r="K47" s="25">
        <v>987.92739148662099</v>
      </c>
      <c r="L47" s="25">
        <v>646.50681846744897</v>
      </c>
      <c r="M47" s="25">
        <v>757.02306323954303</v>
      </c>
      <c r="N47" s="30">
        <v>707.98111865103499</v>
      </c>
      <c r="O47" s="30">
        <v>410.62228576608601</v>
      </c>
      <c r="P47" s="30">
        <v>410.62228576608601</v>
      </c>
      <c r="Q47" s="30">
        <v>410.98305392838898</v>
      </c>
      <c r="R47" s="30">
        <v>573.131043311236</v>
      </c>
      <c r="S47" s="25">
        <v>911.69538487561294</v>
      </c>
      <c r="T47" s="25">
        <v>1257.9163188795501</v>
      </c>
      <c r="U47" s="25">
        <v>1257.9163188795501</v>
      </c>
      <c r="V47" s="25">
        <v>1257.9163188795501</v>
      </c>
      <c r="W47" s="25">
        <v>1345.89347359965</v>
      </c>
      <c r="X47" s="25">
        <v>1345.89347359965</v>
      </c>
      <c r="Y47" s="25">
        <v>1345.89347359965</v>
      </c>
    </row>
    <row r="48" spans="1:25">
      <c r="A48" s="5"/>
      <c r="B48" s="4">
        <v>9</v>
      </c>
      <c r="C48" s="25">
        <v>650.43268617144702</v>
      </c>
      <c r="E48" t="s">
        <v>119</v>
      </c>
      <c r="F48" s="25">
        <v>1228.4801056287699</v>
      </c>
      <c r="G48" s="25">
        <v>1228.4801056287699</v>
      </c>
      <c r="H48" s="25">
        <v>1228.4801056287699</v>
      </c>
      <c r="I48" s="25">
        <v>987.92739148662099</v>
      </c>
      <c r="J48" s="25">
        <v>987.92739148662099</v>
      </c>
      <c r="K48" s="25">
        <v>987.92739148662099</v>
      </c>
      <c r="L48" s="25">
        <v>646.50681846744897</v>
      </c>
      <c r="M48" s="25">
        <v>757.02306323954303</v>
      </c>
      <c r="N48" s="30">
        <v>707.98111865103499</v>
      </c>
      <c r="O48" s="30">
        <v>410.62228576608601</v>
      </c>
      <c r="P48" s="30">
        <v>410.62228576608601</v>
      </c>
      <c r="Q48" s="30">
        <v>410.98305392838898</v>
      </c>
      <c r="R48" s="30">
        <v>573.131043311236</v>
      </c>
      <c r="S48" s="25">
        <v>911.69538487561294</v>
      </c>
      <c r="T48" s="25">
        <v>1257.9163188795501</v>
      </c>
      <c r="U48" s="25">
        <v>1257.9163188795501</v>
      </c>
      <c r="V48" s="25">
        <v>1257.9163188795501</v>
      </c>
      <c r="W48" s="25">
        <v>1345.89347359965</v>
      </c>
      <c r="X48" s="25">
        <v>1345.89347359965</v>
      </c>
      <c r="Y48" s="25">
        <v>1345.89347359965</v>
      </c>
    </row>
    <row r="49" spans="1:25">
      <c r="A49" s="5"/>
      <c r="B49" s="4">
        <v>10</v>
      </c>
      <c r="C49" s="25">
        <v>761.62003315580603</v>
      </c>
      <c r="E49" t="s">
        <v>120</v>
      </c>
      <c r="F49" s="25">
        <v>1228.4801056287699</v>
      </c>
      <c r="G49" s="25">
        <v>1228.4801056287699</v>
      </c>
      <c r="H49" s="25">
        <v>1228.4801056287699</v>
      </c>
      <c r="I49" s="25">
        <v>987.92739148662099</v>
      </c>
      <c r="J49" s="25">
        <v>987.92739148662099</v>
      </c>
      <c r="K49" s="25">
        <v>987.92739148662099</v>
      </c>
      <c r="L49" s="25">
        <v>646.50681846744897</v>
      </c>
      <c r="M49" s="25">
        <v>757.02306323954303</v>
      </c>
      <c r="N49" s="30">
        <v>707.98111865103499</v>
      </c>
      <c r="O49" s="30">
        <v>410.62228576608601</v>
      </c>
      <c r="P49" s="30">
        <v>410.62228576608601</v>
      </c>
      <c r="Q49" s="30">
        <v>410.98305392838898</v>
      </c>
      <c r="R49" s="30">
        <v>573.131043311236</v>
      </c>
      <c r="S49" s="25">
        <v>911.69538487561294</v>
      </c>
      <c r="T49" s="25">
        <v>1257.9163188795501</v>
      </c>
      <c r="U49" s="25">
        <v>1257.9163188795501</v>
      </c>
      <c r="V49" s="25">
        <v>1257.9163188795501</v>
      </c>
      <c r="W49" s="25">
        <v>1345.89347359965</v>
      </c>
      <c r="X49" s="25">
        <v>1345.89347359965</v>
      </c>
      <c r="Y49" s="25">
        <v>1345.89347359965</v>
      </c>
    </row>
    <row r="50" spans="1:25">
      <c r="A50" s="5"/>
      <c r="B50" s="4">
        <v>11</v>
      </c>
      <c r="C50" s="30">
        <v>712.28028476863506</v>
      </c>
      <c r="E50" t="s">
        <v>121</v>
      </c>
      <c r="F50" s="25">
        <v>1228.4801056287699</v>
      </c>
      <c r="G50" s="25">
        <v>1228.4801056287699</v>
      </c>
      <c r="H50" s="25">
        <v>1228.4801056287699</v>
      </c>
      <c r="I50" s="25">
        <v>987.92739148662099</v>
      </c>
      <c r="J50" s="25">
        <v>987.92739148662099</v>
      </c>
      <c r="K50" s="25">
        <v>987.92739148662099</v>
      </c>
      <c r="L50" s="25">
        <v>646.50681846744897</v>
      </c>
      <c r="M50" s="25">
        <v>757.02306323954303</v>
      </c>
      <c r="N50" s="30">
        <v>707.98111865103499</v>
      </c>
      <c r="O50" s="30">
        <v>410.62228576608601</v>
      </c>
      <c r="P50" s="30">
        <v>410.62228576608601</v>
      </c>
      <c r="Q50" s="30">
        <v>410.98305392838898</v>
      </c>
      <c r="R50" s="30">
        <v>573.131043311236</v>
      </c>
      <c r="S50" s="25">
        <v>911.69538487561294</v>
      </c>
      <c r="T50" s="25">
        <v>1257.9163188795501</v>
      </c>
      <c r="U50" s="25">
        <v>1257.9163188795501</v>
      </c>
      <c r="V50" s="25">
        <v>1257.9163188795501</v>
      </c>
      <c r="W50" s="25">
        <v>1345.89347359965</v>
      </c>
      <c r="X50" s="25">
        <v>1345.89347359965</v>
      </c>
      <c r="Y50" s="25">
        <v>1345.89347359965</v>
      </c>
    </row>
    <row r="51" spans="1:25">
      <c r="A51" s="5"/>
      <c r="B51" s="4">
        <v>12</v>
      </c>
      <c r="C51" s="30">
        <v>413.11576104613403</v>
      </c>
      <c r="E51" t="s">
        <v>122</v>
      </c>
      <c r="F51" s="25">
        <v>1228.4801056287699</v>
      </c>
      <c r="G51" s="25">
        <v>1228.4801056287699</v>
      </c>
      <c r="H51" s="25">
        <v>1228.4801056287699</v>
      </c>
      <c r="I51" s="25">
        <v>987.92739148662099</v>
      </c>
      <c r="J51" s="25">
        <v>987.92739148662099</v>
      </c>
      <c r="K51" s="25">
        <v>987.92739148662099</v>
      </c>
      <c r="L51" s="25">
        <v>646.50681846744897</v>
      </c>
      <c r="M51" s="25">
        <v>757.02306323954303</v>
      </c>
      <c r="N51" s="30">
        <v>707.98111865103499</v>
      </c>
      <c r="O51" s="30">
        <v>410.62228576608601</v>
      </c>
      <c r="P51" s="30">
        <v>410.62228576608601</v>
      </c>
      <c r="Q51" s="30">
        <v>410.98305392838898</v>
      </c>
      <c r="R51" s="30">
        <v>573.131043311236</v>
      </c>
      <c r="S51" s="25">
        <v>911.69538487561294</v>
      </c>
      <c r="T51" s="25">
        <v>1257.9163188795501</v>
      </c>
      <c r="U51" s="25">
        <v>1257.9163188795501</v>
      </c>
      <c r="V51" s="25">
        <v>1257.9163188795501</v>
      </c>
      <c r="W51" s="25">
        <v>1345.89347359965</v>
      </c>
      <c r="X51" s="25">
        <v>1345.89347359965</v>
      </c>
      <c r="Y51" s="25">
        <v>1345.89347359965</v>
      </c>
    </row>
    <row r="52" spans="1:25">
      <c r="A52" s="5"/>
      <c r="B52" s="4">
        <v>1</v>
      </c>
      <c r="C52" s="30">
        <v>413.11576104613403</v>
      </c>
      <c r="E52" t="s">
        <v>123</v>
      </c>
      <c r="F52" s="25">
        <v>1228.4801056287699</v>
      </c>
      <c r="G52" s="25">
        <v>1228.4801056287699</v>
      </c>
      <c r="H52" s="25">
        <v>1228.4801056287699</v>
      </c>
      <c r="I52" s="25">
        <v>987.92739148662099</v>
      </c>
      <c r="J52" s="25">
        <v>987.92739148662099</v>
      </c>
      <c r="K52" s="25">
        <v>987.92739148662099</v>
      </c>
      <c r="L52" s="25">
        <v>646.50681846744897</v>
      </c>
      <c r="M52" s="25">
        <v>757.02306323954303</v>
      </c>
      <c r="N52" s="30">
        <v>707.98111865103499</v>
      </c>
      <c r="O52" s="30">
        <v>410.62228576608601</v>
      </c>
      <c r="P52" s="30">
        <v>410.62228576608601</v>
      </c>
      <c r="Q52" s="30">
        <v>410.98305392838898</v>
      </c>
      <c r="R52" s="30">
        <v>573.131043311236</v>
      </c>
      <c r="S52" s="25">
        <v>911.69538487561294</v>
      </c>
      <c r="T52" s="25">
        <v>1257.9163188795501</v>
      </c>
      <c r="U52" s="25">
        <v>1257.9163188795501</v>
      </c>
      <c r="V52" s="25">
        <v>1257.9163188795501</v>
      </c>
      <c r="W52" s="25">
        <v>1345.89347359965</v>
      </c>
      <c r="X52" s="25">
        <v>1345.89347359965</v>
      </c>
      <c r="Y52" s="25">
        <v>1345.89347359965</v>
      </c>
    </row>
    <row r="53" spans="1:25">
      <c r="A53" s="5"/>
      <c r="B53" s="4">
        <v>2</v>
      </c>
      <c r="C53" s="30">
        <v>413.47871994801801</v>
      </c>
      <c r="E53" t="s">
        <v>124</v>
      </c>
      <c r="F53" s="25">
        <v>1228.4801056287699</v>
      </c>
      <c r="G53" s="25">
        <v>1228.4801056287699</v>
      </c>
      <c r="H53" s="25">
        <v>1228.4801056287699</v>
      </c>
      <c r="I53" s="25">
        <v>987.92739148662099</v>
      </c>
      <c r="J53" s="25">
        <v>987.92739148662099</v>
      </c>
      <c r="K53" s="25">
        <v>987.92739148662099</v>
      </c>
      <c r="L53" s="25">
        <v>646.50681846744897</v>
      </c>
      <c r="M53" s="25">
        <v>757.02306323954303</v>
      </c>
      <c r="N53" s="30">
        <v>707.98111865103499</v>
      </c>
      <c r="O53" s="30">
        <v>410.62228576608601</v>
      </c>
      <c r="P53" s="30">
        <v>410.62228576608601</v>
      </c>
      <c r="Q53" s="30">
        <v>410.98305392838898</v>
      </c>
      <c r="R53" s="30">
        <v>573.131043311236</v>
      </c>
      <c r="S53" s="25">
        <v>911.69538487561294</v>
      </c>
      <c r="T53" s="25">
        <v>1257.9163188795501</v>
      </c>
      <c r="U53" s="25">
        <v>1257.9163188795501</v>
      </c>
      <c r="V53" s="25">
        <v>1257.9163188795501</v>
      </c>
      <c r="W53" s="25">
        <v>1345.89347359965</v>
      </c>
      <c r="X53" s="25">
        <v>1345.89347359965</v>
      </c>
      <c r="Y53" s="25">
        <v>1345.89347359965</v>
      </c>
    </row>
    <row r="54" spans="1:25">
      <c r="A54" s="5"/>
      <c r="B54" s="4">
        <v>3</v>
      </c>
      <c r="C54" s="30">
        <v>576.611341722362</v>
      </c>
      <c r="E54" t="s">
        <v>125</v>
      </c>
      <c r="F54" s="25">
        <v>1228.4801056287699</v>
      </c>
      <c r="G54" s="25">
        <v>1228.4801056287699</v>
      </c>
      <c r="H54" s="25">
        <v>1228.4801056287699</v>
      </c>
      <c r="I54" s="25">
        <v>987.92739148662099</v>
      </c>
      <c r="J54" s="25">
        <v>987.92739148662099</v>
      </c>
      <c r="K54" s="25">
        <v>987.92739148662099</v>
      </c>
      <c r="L54" s="25">
        <v>646.50681846744897</v>
      </c>
      <c r="M54" s="25">
        <v>757.02306323954303</v>
      </c>
      <c r="N54" s="30">
        <v>707.98111865103499</v>
      </c>
      <c r="O54" s="30">
        <v>410.62228576608601</v>
      </c>
      <c r="P54" s="30">
        <v>410.62228576608601</v>
      </c>
      <c r="Q54" s="30">
        <v>410.98305392838898</v>
      </c>
      <c r="R54" s="30">
        <v>573.131043311236</v>
      </c>
      <c r="S54" s="25">
        <v>911.69538487561294</v>
      </c>
      <c r="T54" s="25">
        <v>1257.9163188795501</v>
      </c>
      <c r="U54" s="25">
        <v>1257.9163188795501</v>
      </c>
      <c r="V54" s="25">
        <v>1257.9163188795501</v>
      </c>
      <c r="W54" s="25">
        <v>1345.89347359965</v>
      </c>
      <c r="X54" s="25">
        <v>1345.89347359965</v>
      </c>
      <c r="Y54" s="25">
        <v>1345.89347359965</v>
      </c>
    </row>
    <row r="55" spans="1:25">
      <c r="A55" s="5"/>
      <c r="B55" s="4">
        <v>4</v>
      </c>
      <c r="C55" s="25">
        <v>917.23159171075804</v>
      </c>
      <c r="E55" t="s">
        <v>126</v>
      </c>
      <c r="F55" s="25">
        <v>1228.4801056287699</v>
      </c>
      <c r="G55" s="25">
        <v>1228.4801056287699</v>
      </c>
      <c r="H55" s="25">
        <v>1228.4801056287699</v>
      </c>
      <c r="I55" s="25">
        <v>987.92739148662099</v>
      </c>
      <c r="J55" s="25">
        <v>987.92739148662099</v>
      </c>
      <c r="K55" s="25">
        <v>987.92739148662099</v>
      </c>
      <c r="L55" s="25">
        <v>646.50681846744897</v>
      </c>
      <c r="M55" s="25">
        <v>757.02306323954303</v>
      </c>
      <c r="N55" s="30">
        <v>707.98111865103499</v>
      </c>
      <c r="O55" s="30">
        <v>410.62228576608601</v>
      </c>
      <c r="P55" s="30">
        <v>410.62228576608601</v>
      </c>
      <c r="Q55" s="30">
        <v>410.98305392838898</v>
      </c>
      <c r="R55" s="30">
        <v>573.131043311236</v>
      </c>
      <c r="S55" s="25">
        <v>911.69538487561294</v>
      </c>
      <c r="T55" s="25">
        <v>1257.9163188795501</v>
      </c>
      <c r="U55" s="25">
        <v>1257.9163188795501</v>
      </c>
      <c r="V55" s="25">
        <v>1257.9163188795501</v>
      </c>
      <c r="W55" s="25">
        <v>1345.89347359965</v>
      </c>
      <c r="X55" s="25">
        <v>1345.89347359965</v>
      </c>
      <c r="Y55" s="25">
        <v>1345.89347359965</v>
      </c>
    </row>
    <row r="56" spans="1:25">
      <c r="A56" s="5"/>
      <c r="B56" s="8" t="s">
        <v>11</v>
      </c>
      <c r="C56" s="25">
        <v>1265.5549282639499</v>
      </c>
    </row>
    <row r="57" spans="1:25">
      <c r="A57" s="5"/>
      <c r="B57" s="8" t="s">
        <v>12</v>
      </c>
      <c r="C57" s="25">
        <v>1265.5549282639499</v>
      </c>
    </row>
    <row r="58" spans="1:25">
      <c r="A58" s="5"/>
      <c r="B58" s="8" t="s">
        <v>13</v>
      </c>
      <c r="C58" s="25">
        <v>1265.5549282639499</v>
      </c>
    </row>
    <row r="59" spans="1:25">
      <c r="A59" s="5"/>
      <c r="B59" s="8" t="s">
        <v>14</v>
      </c>
      <c r="C59" s="25">
        <v>1354.0663181391001</v>
      </c>
    </row>
    <row r="60" spans="1:25">
      <c r="A60" s="5"/>
      <c r="B60" s="8" t="s">
        <v>15</v>
      </c>
      <c r="C60" s="25">
        <v>1354.0663181391001</v>
      </c>
    </row>
    <row r="61" spans="1:25">
      <c r="A61" s="5"/>
      <c r="B61" s="8" t="s">
        <v>16</v>
      </c>
      <c r="C61" s="25">
        <v>1354.0663181391001</v>
      </c>
    </row>
    <row r="62" spans="1:25">
      <c r="A62" s="5">
        <v>1973</v>
      </c>
      <c r="B62" s="4" t="s">
        <v>5</v>
      </c>
      <c r="C62" s="25">
        <v>1235.9399656548801</v>
      </c>
    </row>
    <row r="63" spans="1:25">
      <c r="A63" s="5"/>
      <c r="B63" s="4" t="s">
        <v>6</v>
      </c>
      <c r="C63" s="25">
        <v>1235.9399656548801</v>
      </c>
    </row>
    <row r="64" spans="1:25">
      <c r="A64" s="5"/>
      <c r="B64" s="4" t="s">
        <v>7</v>
      </c>
      <c r="C64" s="25">
        <v>1235.9399656548801</v>
      </c>
    </row>
    <row r="65" spans="1:3">
      <c r="A65" s="5"/>
      <c r="B65" s="8" t="s">
        <v>8</v>
      </c>
      <c r="C65" s="25">
        <v>993.92651188155605</v>
      </c>
    </row>
    <row r="66" spans="1:3">
      <c r="A66" s="5"/>
      <c r="B66" s="8" t="s">
        <v>9</v>
      </c>
      <c r="C66" s="25">
        <v>993.92651188155605</v>
      </c>
    </row>
    <row r="67" spans="1:3">
      <c r="A67" s="5"/>
      <c r="B67" s="8" t="s">
        <v>10</v>
      </c>
      <c r="C67" s="25">
        <v>993.92651188155605</v>
      </c>
    </row>
    <row r="68" spans="1:3">
      <c r="A68" s="5"/>
      <c r="B68" s="4">
        <v>9</v>
      </c>
      <c r="C68" s="25">
        <v>650.43268617144702</v>
      </c>
    </row>
    <row r="69" spans="1:3">
      <c r="A69" s="5"/>
      <c r="B69" s="4">
        <v>10</v>
      </c>
      <c r="C69" s="25">
        <v>761.62003315580603</v>
      </c>
    </row>
    <row r="70" spans="1:3">
      <c r="A70" s="5"/>
      <c r="B70" s="4">
        <v>11</v>
      </c>
      <c r="C70" s="30">
        <v>712.28028476863506</v>
      </c>
    </row>
    <row r="71" spans="1:3">
      <c r="A71" s="5"/>
      <c r="B71" s="4">
        <v>12</v>
      </c>
      <c r="C71" s="30">
        <v>413.11576104613403</v>
      </c>
    </row>
    <row r="72" spans="1:3">
      <c r="A72" s="5"/>
      <c r="B72" s="4">
        <v>1</v>
      </c>
      <c r="C72" s="30">
        <v>413.11576104613403</v>
      </c>
    </row>
    <row r="73" spans="1:3">
      <c r="A73" s="5"/>
      <c r="B73" s="4">
        <v>2</v>
      </c>
      <c r="C73" s="30">
        <v>413.47871994801801</v>
      </c>
    </row>
    <row r="74" spans="1:3">
      <c r="A74" s="5"/>
      <c r="B74" s="4">
        <v>3</v>
      </c>
      <c r="C74" s="30">
        <v>576.611341722362</v>
      </c>
    </row>
    <row r="75" spans="1:3">
      <c r="A75" s="5"/>
      <c r="B75" s="4">
        <v>4</v>
      </c>
      <c r="C75" s="25">
        <v>917.23159171075804</v>
      </c>
    </row>
    <row r="76" spans="1:3">
      <c r="A76" s="5"/>
      <c r="B76" s="8" t="s">
        <v>11</v>
      </c>
      <c r="C76" s="25">
        <v>1265.5549282639499</v>
      </c>
    </row>
    <row r="77" spans="1:3">
      <c r="A77" s="5"/>
      <c r="B77" s="8" t="s">
        <v>12</v>
      </c>
      <c r="C77" s="25">
        <v>1265.5549282639499</v>
      </c>
    </row>
    <row r="78" spans="1:3">
      <c r="A78" s="5"/>
      <c r="B78" s="8" t="s">
        <v>13</v>
      </c>
      <c r="C78" s="25">
        <v>1265.5549282639499</v>
      </c>
    </row>
    <row r="79" spans="1:3">
      <c r="A79" s="5"/>
      <c r="B79" s="8" t="s">
        <v>14</v>
      </c>
      <c r="C79" s="25">
        <v>1354.0663181391001</v>
      </c>
    </row>
    <row r="80" spans="1:3">
      <c r="A80" s="5"/>
      <c r="B80" s="8" t="s">
        <v>15</v>
      </c>
      <c r="C80" s="25">
        <v>1354.0663181391001</v>
      </c>
    </row>
    <row r="81" spans="1:3">
      <c r="A81" s="5"/>
      <c r="B81" s="8" t="s">
        <v>16</v>
      </c>
      <c r="C81" s="25">
        <v>1354.0663181391001</v>
      </c>
    </row>
    <row r="82" spans="1:3">
      <c r="A82" s="5">
        <v>1974</v>
      </c>
      <c r="B82" s="4" t="s">
        <v>5</v>
      </c>
      <c r="C82" s="25">
        <v>1235.9399656548801</v>
      </c>
    </row>
    <row r="83" spans="1:3">
      <c r="A83" s="5"/>
      <c r="B83" s="4" t="s">
        <v>6</v>
      </c>
      <c r="C83" s="25">
        <v>1235.9399656548801</v>
      </c>
    </row>
    <row r="84" spans="1:3">
      <c r="A84" s="5"/>
      <c r="B84" s="4" t="s">
        <v>7</v>
      </c>
      <c r="C84" s="25">
        <v>1235.9399656548801</v>
      </c>
    </row>
    <row r="85" spans="1:3">
      <c r="A85" s="5"/>
      <c r="B85" s="8" t="s">
        <v>8</v>
      </c>
      <c r="C85" s="25">
        <v>993.92651188155605</v>
      </c>
    </row>
    <row r="86" spans="1:3">
      <c r="A86" s="5"/>
      <c r="B86" s="8" t="s">
        <v>9</v>
      </c>
      <c r="C86" s="25">
        <v>993.92651188155605</v>
      </c>
    </row>
    <row r="87" spans="1:3">
      <c r="A87" s="5"/>
      <c r="B87" s="8" t="s">
        <v>10</v>
      </c>
      <c r="C87" s="25">
        <v>993.92651188155605</v>
      </c>
    </row>
    <row r="88" spans="1:3">
      <c r="A88" s="5"/>
      <c r="B88" s="4">
        <v>9</v>
      </c>
      <c r="C88" s="25">
        <v>650.43268617144702</v>
      </c>
    </row>
    <row r="89" spans="1:3">
      <c r="A89" s="5"/>
      <c r="B89" s="4">
        <v>10</v>
      </c>
      <c r="C89" s="25">
        <v>761.62003315580603</v>
      </c>
    </row>
    <row r="90" spans="1:3">
      <c r="A90" s="5"/>
      <c r="B90" s="4">
        <v>11</v>
      </c>
      <c r="C90" s="30">
        <v>712.28028476863506</v>
      </c>
    </row>
    <row r="91" spans="1:3">
      <c r="A91" s="5"/>
      <c r="B91" s="4">
        <v>12</v>
      </c>
      <c r="C91" s="30">
        <v>413.11576104613403</v>
      </c>
    </row>
    <row r="92" spans="1:3">
      <c r="A92" s="5"/>
      <c r="B92" s="4">
        <v>1</v>
      </c>
      <c r="C92" s="30">
        <v>413.11576104613403</v>
      </c>
    </row>
    <row r="93" spans="1:3">
      <c r="A93" s="5"/>
      <c r="B93" s="4">
        <v>2</v>
      </c>
      <c r="C93" s="30">
        <v>413.47871994801801</v>
      </c>
    </row>
    <row r="94" spans="1:3">
      <c r="A94" s="5"/>
      <c r="B94" s="4">
        <v>3</v>
      </c>
      <c r="C94" s="30">
        <v>576.611341722362</v>
      </c>
    </row>
    <row r="95" spans="1:3">
      <c r="A95" s="5"/>
      <c r="B95" s="4">
        <v>4</v>
      </c>
      <c r="C95" s="25">
        <v>917.23159171075804</v>
      </c>
    </row>
    <row r="96" spans="1:3">
      <c r="A96" s="5"/>
      <c r="B96" s="8" t="s">
        <v>11</v>
      </c>
      <c r="C96" s="25">
        <v>1265.5549282639499</v>
      </c>
    </row>
    <row r="97" spans="1:3">
      <c r="A97" s="5"/>
      <c r="B97" s="8" t="s">
        <v>12</v>
      </c>
      <c r="C97" s="25">
        <v>1265.5549282639499</v>
      </c>
    </row>
    <row r="98" spans="1:3">
      <c r="A98" s="5"/>
      <c r="B98" s="8" t="s">
        <v>13</v>
      </c>
      <c r="C98" s="25">
        <v>1265.5549282639499</v>
      </c>
    </row>
    <row r="99" spans="1:3">
      <c r="A99" s="5"/>
      <c r="B99" s="8" t="s">
        <v>14</v>
      </c>
      <c r="C99" s="25">
        <v>1354.0663181391001</v>
      </c>
    </row>
    <row r="100" spans="1:3">
      <c r="A100" s="5"/>
      <c r="B100" s="8" t="s">
        <v>15</v>
      </c>
      <c r="C100" s="25">
        <v>1354.0663181391001</v>
      </c>
    </row>
    <row r="101" spans="1:3">
      <c r="A101" s="5"/>
      <c r="B101" s="8" t="s">
        <v>16</v>
      </c>
      <c r="C101" s="25">
        <v>1354.0663181391001</v>
      </c>
    </row>
    <row r="102" spans="1:3">
      <c r="A102" s="5">
        <v>1975</v>
      </c>
      <c r="B102" s="4" t="s">
        <v>5</v>
      </c>
      <c r="C102" s="25">
        <v>1235.9399656548801</v>
      </c>
    </row>
    <row r="103" spans="1:3">
      <c r="A103" s="5"/>
      <c r="B103" s="4" t="s">
        <v>6</v>
      </c>
      <c r="C103" s="25">
        <v>1235.9399656548801</v>
      </c>
    </row>
    <row r="104" spans="1:3">
      <c r="A104" s="5"/>
      <c r="B104" s="4" t="s">
        <v>7</v>
      </c>
      <c r="C104" s="25">
        <v>1235.9399656548801</v>
      </c>
    </row>
    <row r="105" spans="1:3">
      <c r="A105" s="5"/>
      <c r="B105" s="8" t="s">
        <v>8</v>
      </c>
      <c r="C105" s="25">
        <v>993.92651188155605</v>
      </c>
    </row>
    <row r="106" spans="1:3">
      <c r="A106" s="5"/>
      <c r="B106" s="8" t="s">
        <v>9</v>
      </c>
      <c r="C106" s="25">
        <v>993.92651188155605</v>
      </c>
    </row>
    <row r="107" spans="1:3">
      <c r="A107" s="5"/>
      <c r="B107" s="8" t="s">
        <v>10</v>
      </c>
      <c r="C107" s="25">
        <v>993.92651188155605</v>
      </c>
    </row>
    <row r="108" spans="1:3">
      <c r="A108" s="5"/>
      <c r="B108" s="4">
        <v>9</v>
      </c>
      <c r="C108" s="25">
        <v>650.43268617144702</v>
      </c>
    </row>
    <row r="109" spans="1:3">
      <c r="A109" s="5"/>
      <c r="B109" s="4">
        <v>10</v>
      </c>
      <c r="C109" s="25">
        <v>761.62003315580603</v>
      </c>
    </row>
    <row r="110" spans="1:3">
      <c r="A110" s="5"/>
      <c r="B110" s="4">
        <v>11</v>
      </c>
      <c r="C110" s="30">
        <v>712.28028476863506</v>
      </c>
    </row>
    <row r="111" spans="1:3">
      <c r="A111" s="5"/>
      <c r="B111" s="4">
        <v>12</v>
      </c>
      <c r="C111" s="30">
        <v>413.11576104613403</v>
      </c>
    </row>
    <row r="112" spans="1:3">
      <c r="A112" s="5"/>
      <c r="B112" s="4">
        <v>1</v>
      </c>
      <c r="C112" s="30">
        <v>413.11576104613403</v>
      </c>
    </row>
    <row r="113" spans="1:3">
      <c r="A113" s="5"/>
      <c r="B113" s="4">
        <v>2</v>
      </c>
      <c r="C113" s="30">
        <v>413.47871994801801</v>
      </c>
    </row>
    <row r="114" spans="1:3">
      <c r="A114" s="5"/>
      <c r="B114" s="4">
        <v>3</v>
      </c>
      <c r="C114" s="30">
        <v>576.611341722362</v>
      </c>
    </row>
    <row r="115" spans="1:3">
      <c r="A115" s="5"/>
      <c r="B115" s="4">
        <v>4</v>
      </c>
      <c r="C115" s="25">
        <v>917.23159171075804</v>
      </c>
    </row>
    <row r="116" spans="1:3">
      <c r="A116" s="5"/>
      <c r="B116" s="8" t="s">
        <v>11</v>
      </c>
      <c r="C116" s="25">
        <v>1265.5549282639499</v>
      </c>
    </row>
    <row r="117" spans="1:3">
      <c r="A117" s="5"/>
      <c r="B117" s="8" t="s">
        <v>12</v>
      </c>
      <c r="C117" s="25">
        <v>1265.5549282639499</v>
      </c>
    </row>
    <row r="118" spans="1:3">
      <c r="A118" s="5"/>
      <c r="B118" s="8" t="s">
        <v>13</v>
      </c>
      <c r="C118" s="25">
        <v>1265.5549282639499</v>
      </c>
    </row>
    <row r="119" spans="1:3">
      <c r="A119" s="5"/>
      <c r="B119" s="8" t="s">
        <v>14</v>
      </c>
      <c r="C119" s="25">
        <v>1354.0663181391001</v>
      </c>
    </row>
    <row r="120" spans="1:3">
      <c r="A120" s="5"/>
      <c r="B120" s="8" t="s">
        <v>15</v>
      </c>
      <c r="C120" s="25">
        <v>1354.0663181391001</v>
      </c>
    </row>
    <row r="121" spans="1:3">
      <c r="A121" s="5"/>
      <c r="B121" s="8" t="s">
        <v>16</v>
      </c>
      <c r="C121" s="25">
        <v>1354.0663181391001</v>
      </c>
    </row>
    <row r="122" spans="1:3">
      <c r="A122" s="5">
        <v>1976</v>
      </c>
      <c r="B122" s="4" t="s">
        <v>5</v>
      </c>
      <c r="C122" s="25">
        <v>1235.9399656548801</v>
      </c>
    </row>
    <row r="123" spans="1:3">
      <c r="A123" s="5"/>
      <c r="B123" s="4" t="s">
        <v>6</v>
      </c>
      <c r="C123" s="25">
        <v>1235.9399656548801</v>
      </c>
    </row>
    <row r="124" spans="1:3">
      <c r="A124" s="5"/>
      <c r="B124" s="4" t="s">
        <v>7</v>
      </c>
      <c r="C124" s="25">
        <v>1235.9399656548801</v>
      </c>
    </row>
    <row r="125" spans="1:3">
      <c r="A125" s="5"/>
      <c r="B125" s="8" t="s">
        <v>8</v>
      </c>
      <c r="C125" s="25">
        <v>993.92651188155605</v>
      </c>
    </row>
    <row r="126" spans="1:3">
      <c r="A126" s="5"/>
      <c r="B126" s="8" t="s">
        <v>9</v>
      </c>
      <c r="C126" s="25">
        <v>993.92651188155605</v>
      </c>
    </row>
    <row r="127" spans="1:3">
      <c r="A127" s="5"/>
      <c r="B127" s="8" t="s">
        <v>10</v>
      </c>
      <c r="C127" s="25">
        <v>993.92651188155605</v>
      </c>
    </row>
    <row r="128" spans="1:3">
      <c r="A128" s="5"/>
      <c r="B128" s="4">
        <v>9</v>
      </c>
      <c r="C128" s="25">
        <v>650.43268617144702</v>
      </c>
    </row>
    <row r="129" spans="1:3">
      <c r="A129" s="5"/>
      <c r="B129" s="4">
        <v>10</v>
      </c>
      <c r="C129" s="25">
        <v>761.62003315580603</v>
      </c>
    </row>
    <row r="130" spans="1:3">
      <c r="A130" s="5"/>
      <c r="B130" s="4">
        <v>11</v>
      </c>
      <c r="C130" s="30">
        <v>712.28028476863506</v>
      </c>
    </row>
    <row r="131" spans="1:3">
      <c r="A131" s="5"/>
      <c r="B131" s="4">
        <v>12</v>
      </c>
      <c r="C131" s="30">
        <v>413.11576104613403</v>
      </c>
    </row>
    <row r="132" spans="1:3">
      <c r="A132" s="5"/>
      <c r="B132" s="4">
        <v>1</v>
      </c>
      <c r="C132" s="30">
        <v>413.11576104613403</v>
      </c>
    </row>
    <row r="133" spans="1:3">
      <c r="A133" s="5"/>
      <c r="B133" s="4">
        <v>2</v>
      </c>
      <c r="C133" s="30">
        <v>413.47871994801801</v>
      </c>
    </row>
    <row r="134" spans="1:3">
      <c r="A134" s="5"/>
      <c r="B134" s="4">
        <v>3</v>
      </c>
      <c r="C134" s="30">
        <v>576.611341722362</v>
      </c>
    </row>
    <row r="135" spans="1:3">
      <c r="A135" s="5"/>
      <c r="B135" s="4">
        <v>4</v>
      </c>
      <c r="C135" s="25">
        <v>917.23159171075804</v>
      </c>
    </row>
    <row r="136" spans="1:3">
      <c r="A136" s="5"/>
      <c r="B136" s="8" t="s">
        <v>11</v>
      </c>
      <c r="C136" s="25">
        <v>1265.5549282639499</v>
      </c>
    </row>
    <row r="137" spans="1:3">
      <c r="A137" s="5"/>
      <c r="B137" s="8" t="s">
        <v>12</v>
      </c>
      <c r="C137" s="25">
        <v>1265.5549282639499</v>
      </c>
    </row>
    <row r="138" spans="1:3">
      <c r="A138" s="5"/>
      <c r="B138" s="8" t="s">
        <v>13</v>
      </c>
      <c r="C138" s="25">
        <v>1265.5549282639499</v>
      </c>
    </row>
    <row r="139" spans="1:3">
      <c r="A139" s="5"/>
      <c r="B139" s="8" t="s">
        <v>14</v>
      </c>
      <c r="C139" s="25">
        <v>1354.0663181391001</v>
      </c>
    </row>
    <row r="140" spans="1:3">
      <c r="A140" s="5"/>
      <c r="B140" s="8" t="s">
        <v>15</v>
      </c>
      <c r="C140" s="25">
        <v>1354.0663181391001</v>
      </c>
    </row>
    <row r="141" spans="1:3">
      <c r="A141" s="5"/>
      <c r="B141" s="8" t="s">
        <v>16</v>
      </c>
      <c r="C141" s="25">
        <v>1354.0663181391001</v>
      </c>
    </row>
    <row r="142" spans="1:3">
      <c r="A142" s="5">
        <v>1977</v>
      </c>
      <c r="B142" s="4" t="s">
        <v>5</v>
      </c>
      <c r="C142" s="14">
        <v>988.75197252390399</v>
      </c>
    </row>
    <row r="143" spans="1:3">
      <c r="A143" s="5"/>
      <c r="B143" s="4" t="s">
        <v>6</v>
      </c>
      <c r="C143" s="14">
        <v>988.75197252390205</v>
      </c>
    </row>
    <row r="144" spans="1:3">
      <c r="A144" s="5"/>
      <c r="B144" s="4" t="s">
        <v>7</v>
      </c>
      <c r="C144" s="14">
        <v>988.75197252390205</v>
      </c>
    </row>
    <row r="145" spans="1:3">
      <c r="A145" s="5"/>
      <c r="B145" s="8" t="s">
        <v>8</v>
      </c>
      <c r="C145" s="14">
        <v>795.141209505245</v>
      </c>
    </row>
    <row r="146" spans="1:3">
      <c r="A146" s="5"/>
      <c r="B146" s="8" t="s">
        <v>9</v>
      </c>
      <c r="C146" s="14">
        <v>795.141209505245</v>
      </c>
    </row>
    <row r="147" spans="1:3">
      <c r="A147" s="5"/>
      <c r="B147" s="8" t="s">
        <v>10</v>
      </c>
      <c r="C147" s="14">
        <v>795.141209505245</v>
      </c>
    </row>
    <row r="148" spans="1:3">
      <c r="A148" s="5"/>
      <c r="B148" s="4">
        <v>9</v>
      </c>
      <c r="C148" s="14">
        <v>520.34614893715798</v>
      </c>
    </row>
    <row r="149" spans="1:3">
      <c r="A149" s="5"/>
      <c r="B149" s="4">
        <v>10</v>
      </c>
      <c r="C149" s="14">
        <v>609.29602652464496</v>
      </c>
    </row>
    <row r="150" spans="1:3">
      <c r="A150" s="5"/>
      <c r="B150" s="4">
        <v>11</v>
      </c>
      <c r="C150" s="14">
        <v>569.824227814908</v>
      </c>
    </row>
    <row r="151" spans="1:3">
      <c r="A151" s="5"/>
      <c r="B151" s="4">
        <v>12</v>
      </c>
      <c r="C151" s="14">
        <v>330.49260883690698</v>
      </c>
    </row>
    <row r="152" spans="1:3">
      <c r="A152" s="5"/>
      <c r="B152" s="4">
        <v>1</v>
      </c>
      <c r="C152" s="14">
        <v>330.49260883690698</v>
      </c>
    </row>
    <row r="153" spans="1:3">
      <c r="A153" s="5"/>
      <c r="B153" s="4">
        <v>2</v>
      </c>
      <c r="C153" s="14">
        <v>330.78297595841502</v>
      </c>
    </row>
    <row r="154" spans="1:3">
      <c r="A154" s="5"/>
      <c r="B154" s="4">
        <v>3</v>
      </c>
      <c r="C154" s="14">
        <v>461.28907337789002</v>
      </c>
    </row>
    <row r="155" spans="1:3">
      <c r="A155" s="5"/>
      <c r="B155" s="4">
        <v>4</v>
      </c>
      <c r="C155" s="14">
        <v>733.785273368606</v>
      </c>
    </row>
    <row r="156" spans="1:3">
      <c r="A156" s="5"/>
      <c r="B156" s="8" t="s">
        <v>11</v>
      </c>
      <c r="C156" s="14">
        <v>1012.44394261116</v>
      </c>
    </row>
    <row r="157" spans="1:3">
      <c r="A157" s="5"/>
      <c r="B157" s="8" t="s">
        <v>12</v>
      </c>
      <c r="C157" s="14">
        <v>1012.44394261116</v>
      </c>
    </row>
    <row r="158" spans="1:3">
      <c r="A158" s="5"/>
      <c r="B158" s="8" t="s">
        <v>13</v>
      </c>
      <c r="C158" s="14">
        <v>1012.44394261116</v>
      </c>
    </row>
    <row r="159" spans="1:3">
      <c r="A159" s="5"/>
      <c r="B159" s="8" t="s">
        <v>14</v>
      </c>
      <c r="C159" s="14">
        <v>1083.25305451128</v>
      </c>
    </row>
    <row r="160" spans="1:3">
      <c r="A160" s="5"/>
      <c r="B160" s="8" t="s">
        <v>15</v>
      </c>
      <c r="C160" s="14">
        <v>1083.25305451128</v>
      </c>
    </row>
    <row r="161" spans="1:3">
      <c r="A161" s="5"/>
      <c r="B161" s="8" t="s">
        <v>16</v>
      </c>
      <c r="C161" s="14">
        <v>1083.25305451128</v>
      </c>
    </row>
    <row r="162" spans="1:3">
      <c r="A162" s="5">
        <v>1978</v>
      </c>
      <c r="B162" s="4" t="s">
        <v>5</v>
      </c>
      <c r="C162" s="25">
        <v>1235.9399656548801</v>
      </c>
    </row>
    <row r="163" spans="1:3">
      <c r="A163" s="5"/>
      <c r="B163" s="4" t="s">
        <v>6</v>
      </c>
      <c r="C163" s="25">
        <v>1235.9399656548801</v>
      </c>
    </row>
    <row r="164" spans="1:3">
      <c r="A164" s="5"/>
      <c r="B164" s="4" t="s">
        <v>7</v>
      </c>
      <c r="C164" s="25">
        <v>1235.9399656548801</v>
      </c>
    </row>
    <row r="165" spans="1:3">
      <c r="A165" s="5"/>
      <c r="B165" s="8" t="s">
        <v>8</v>
      </c>
      <c r="C165" s="25">
        <v>993.92651188155605</v>
      </c>
    </row>
    <row r="166" spans="1:3">
      <c r="A166" s="5"/>
      <c r="B166" s="8" t="s">
        <v>9</v>
      </c>
      <c r="C166" s="25">
        <v>993.92651188155605</v>
      </c>
    </row>
    <row r="167" spans="1:3">
      <c r="A167" s="5"/>
      <c r="B167" s="8" t="s">
        <v>10</v>
      </c>
      <c r="C167" s="25">
        <v>993.92651188155605</v>
      </c>
    </row>
    <row r="168" spans="1:3">
      <c r="A168" s="5"/>
      <c r="B168" s="4">
        <v>9</v>
      </c>
      <c r="C168" s="25">
        <v>650.43268617144702</v>
      </c>
    </row>
    <row r="169" spans="1:3">
      <c r="A169" s="5"/>
      <c r="B169" s="4">
        <v>10</v>
      </c>
      <c r="C169" s="25">
        <v>761.62003315580603</v>
      </c>
    </row>
    <row r="170" spans="1:3">
      <c r="A170" s="5"/>
      <c r="B170" s="4">
        <v>11</v>
      </c>
      <c r="C170" s="30">
        <v>712.28028476863506</v>
      </c>
    </row>
    <row r="171" spans="1:3">
      <c r="A171" s="5"/>
      <c r="B171" s="4">
        <v>12</v>
      </c>
      <c r="C171" s="30">
        <v>413.11576104613403</v>
      </c>
    </row>
    <row r="172" spans="1:3">
      <c r="A172" s="5"/>
      <c r="B172" s="4">
        <v>1</v>
      </c>
      <c r="C172" s="30">
        <v>413.11576104613403</v>
      </c>
    </row>
    <row r="173" spans="1:3">
      <c r="A173" s="5"/>
      <c r="B173" s="4">
        <v>2</v>
      </c>
      <c r="C173" s="30">
        <v>413.47871994801801</v>
      </c>
    </row>
    <row r="174" spans="1:3">
      <c r="A174" s="5"/>
      <c r="B174" s="4">
        <v>3</v>
      </c>
      <c r="C174" s="30">
        <v>576.611341722362</v>
      </c>
    </row>
    <row r="175" spans="1:3">
      <c r="A175" s="5"/>
      <c r="B175" s="4">
        <v>4</v>
      </c>
      <c r="C175" s="25">
        <v>917.23159171075804</v>
      </c>
    </row>
    <row r="176" spans="1:3">
      <c r="A176" s="5"/>
      <c r="B176" s="8" t="s">
        <v>11</v>
      </c>
      <c r="C176" s="25">
        <v>1265.5549282639499</v>
      </c>
    </row>
    <row r="177" spans="1:3">
      <c r="A177" s="5"/>
      <c r="B177" s="8" t="s">
        <v>12</v>
      </c>
      <c r="C177" s="25">
        <v>1265.5549282639499</v>
      </c>
    </row>
    <row r="178" spans="1:3">
      <c r="A178" s="5"/>
      <c r="B178" s="8" t="s">
        <v>13</v>
      </c>
      <c r="C178" s="25">
        <v>1265.5549282639499</v>
      </c>
    </row>
    <row r="179" spans="1:3">
      <c r="A179" s="5"/>
      <c r="B179" s="8" t="s">
        <v>14</v>
      </c>
      <c r="C179" s="25">
        <v>1354.0663181391001</v>
      </c>
    </row>
    <row r="180" spans="1:3">
      <c r="A180" s="5"/>
      <c r="B180" s="8" t="s">
        <v>15</v>
      </c>
      <c r="C180" s="25">
        <v>1354.0663181391001</v>
      </c>
    </row>
    <row r="181" spans="1:3">
      <c r="A181" s="5"/>
      <c r="B181" s="8" t="s">
        <v>16</v>
      </c>
      <c r="C181" s="25">
        <v>1354.0663181391001</v>
      </c>
    </row>
    <row r="182" spans="1:3">
      <c r="A182" s="5">
        <v>1979</v>
      </c>
      <c r="B182" s="4" t="s">
        <v>5</v>
      </c>
      <c r="C182" s="25">
        <v>1235.9399656548801</v>
      </c>
    </row>
    <row r="183" spans="1:3">
      <c r="A183" s="5"/>
      <c r="B183" s="4" t="s">
        <v>6</v>
      </c>
      <c r="C183" s="25">
        <v>1235.9399656548801</v>
      </c>
    </row>
    <row r="184" spans="1:3">
      <c r="A184" s="5"/>
      <c r="B184" s="4" t="s">
        <v>7</v>
      </c>
      <c r="C184" s="25">
        <v>1235.9399656548801</v>
      </c>
    </row>
    <row r="185" spans="1:3">
      <c r="A185" s="5"/>
      <c r="B185" s="8" t="s">
        <v>8</v>
      </c>
      <c r="C185" s="25">
        <v>993.92651188155605</v>
      </c>
    </row>
    <row r="186" spans="1:3">
      <c r="A186" s="5"/>
      <c r="B186" s="8" t="s">
        <v>9</v>
      </c>
      <c r="C186" s="25">
        <v>993.92651188155605</v>
      </c>
    </row>
    <row r="187" spans="1:3">
      <c r="A187" s="5"/>
      <c r="B187" s="8" t="s">
        <v>10</v>
      </c>
      <c r="C187" s="25">
        <v>993.92651188155605</v>
      </c>
    </row>
    <row r="188" spans="1:3">
      <c r="A188" s="5"/>
      <c r="B188" s="4">
        <v>9</v>
      </c>
      <c r="C188" s="25">
        <v>650.43268617144702</v>
      </c>
    </row>
    <row r="189" spans="1:3">
      <c r="A189" s="5"/>
      <c r="B189" s="4">
        <v>10</v>
      </c>
      <c r="C189" s="25">
        <v>761.62003315580603</v>
      </c>
    </row>
    <row r="190" spans="1:3">
      <c r="A190" s="5"/>
      <c r="B190" s="4">
        <v>11</v>
      </c>
      <c r="C190" s="30">
        <v>712.28028476863506</v>
      </c>
    </row>
    <row r="191" spans="1:3">
      <c r="A191" s="5"/>
      <c r="B191" s="4">
        <v>12</v>
      </c>
      <c r="C191" s="30">
        <v>413.11576104613403</v>
      </c>
    </row>
    <row r="192" spans="1:3">
      <c r="A192" s="5"/>
      <c r="B192" s="4">
        <v>1</v>
      </c>
      <c r="C192" s="30">
        <v>413.11576104613403</v>
      </c>
    </row>
    <row r="193" spans="1:3">
      <c r="A193" s="5"/>
      <c r="B193" s="4">
        <v>2</v>
      </c>
      <c r="C193" s="30">
        <v>413.47871994801801</v>
      </c>
    </row>
    <row r="194" spans="1:3">
      <c r="A194" s="5"/>
      <c r="B194" s="4">
        <v>3</v>
      </c>
      <c r="C194" s="30">
        <v>576.611341722362</v>
      </c>
    </row>
    <row r="195" spans="1:3">
      <c r="A195" s="5"/>
      <c r="B195" s="4">
        <v>4</v>
      </c>
      <c r="C195" s="25">
        <v>917.23159171075804</v>
      </c>
    </row>
    <row r="196" spans="1:3">
      <c r="A196" s="5"/>
      <c r="B196" s="8" t="s">
        <v>11</v>
      </c>
      <c r="C196" s="25">
        <v>1265.5549282639499</v>
      </c>
    </row>
    <row r="197" spans="1:3">
      <c r="A197" s="5"/>
      <c r="B197" s="8" t="s">
        <v>12</v>
      </c>
      <c r="C197" s="25">
        <v>1265.5549282639499</v>
      </c>
    </row>
    <row r="198" spans="1:3">
      <c r="A198" s="5"/>
      <c r="B198" s="8" t="s">
        <v>13</v>
      </c>
      <c r="C198" s="25">
        <v>1265.5549282639499</v>
      </c>
    </row>
    <row r="199" spans="1:3">
      <c r="A199" s="5"/>
      <c r="B199" s="8" t="s">
        <v>14</v>
      </c>
      <c r="C199" s="25">
        <v>1354.0663181391001</v>
      </c>
    </row>
    <row r="200" spans="1:3">
      <c r="A200" s="4"/>
      <c r="B200" s="8" t="s">
        <v>15</v>
      </c>
      <c r="C200" s="25">
        <v>1354.0663181391001</v>
      </c>
    </row>
    <row r="201" spans="1:3">
      <c r="A201" s="4"/>
      <c r="B201" s="8" t="s">
        <v>16</v>
      </c>
      <c r="C201" s="25">
        <v>1354.0663181391001</v>
      </c>
    </row>
    <row r="202" spans="1:3">
      <c r="A202" s="4"/>
    </row>
    <row r="203" spans="1:3">
      <c r="A203" s="4"/>
    </row>
    <row r="204" spans="1:3">
      <c r="A204" s="4"/>
    </row>
    <row r="205" spans="1:3">
      <c r="A205" s="4"/>
    </row>
    <row r="206" spans="1:3">
      <c r="A206" s="4"/>
    </row>
    <row r="207" spans="1:3">
      <c r="A207" s="4"/>
    </row>
    <row r="208" spans="1:3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</sheetData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Y55"/>
  <sheetViews>
    <sheetView topLeftCell="D1" workbookViewId="0">
      <selection activeCell="Y55" sqref="Y55"/>
    </sheetView>
  </sheetViews>
  <sheetFormatPr baseColWidth="10" defaultColWidth="9" defaultRowHeight="15"/>
  <cols>
    <col min="5" max="5" width="9" style="38"/>
  </cols>
  <sheetData>
    <row r="1" spans="5:25" ht="16">
      <c r="E1" s="40" t="s">
        <v>18</v>
      </c>
      <c r="F1" s="4" t="s">
        <v>5</v>
      </c>
      <c r="G1" s="4" t="s">
        <v>6</v>
      </c>
      <c r="H1" s="4" t="s">
        <v>7</v>
      </c>
      <c r="I1" s="8" t="s">
        <v>8</v>
      </c>
      <c r="J1" s="8" t="s">
        <v>9</v>
      </c>
      <c r="K1" s="8" t="s">
        <v>10</v>
      </c>
      <c r="L1" s="4">
        <v>9</v>
      </c>
      <c r="M1" s="4">
        <v>10</v>
      </c>
      <c r="N1" s="4">
        <v>11</v>
      </c>
      <c r="O1" s="4">
        <v>12</v>
      </c>
      <c r="P1" s="4">
        <v>1</v>
      </c>
      <c r="Q1" s="4">
        <v>2</v>
      </c>
      <c r="R1" s="4">
        <v>3</v>
      </c>
      <c r="S1" s="4">
        <v>4</v>
      </c>
      <c r="T1" s="8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16</v>
      </c>
    </row>
    <row r="2" spans="5:25">
      <c r="E2" s="39" t="s">
        <v>46</v>
      </c>
      <c r="F2" s="25">
        <v>411</v>
      </c>
      <c r="G2" s="25">
        <v>411</v>
      </c>
      <c r="H2" s="25">
        <v>411</v>
      </c>
      <c r="I2" s="25">
        <v>411</v>
      </c>
      <c r="J2" s="25">
        <v>411</v>
      </c>
      <c r="K2" s="25">
        <v>411</v>
      </c>
      <c r="L2" s="25">
        <v>411</v>
      </c>
      <c r="M2" s="25">
        <v>411</v>
      </c>
      <c r="N2" s="25">
        <v>411</v>
      </c>
      <c r="O2" s="25">
        <v>411</v>
      </c>
      <c r="P2" s="25">
        <v>411</v>
      </c>
      <c r="Q2" s="25">
        <v>411</v>
      </c>
      <c r="R2" s="25">
        <v>411</v>
      </c>
      <c r="S2" s="25">
        <v>411</v>
      </c>
      <c r="T2" s="25">
        <v>411</v>
      </c>
      <c r="U2" s="25">
        <v>411</v>
      </c>
      <c r="V2" s="25">
        <v>411</v>
      </c>
      <c r="W2" s="25">
        <v>411</v>
      </c>
      <c r="X2" s="25">
        <v>411</v>
      </c>
      <c r="Y2" s="25">
        <v>411</v>
      </c>
    </row>
    <row r="3" spans="5:25">
      <c r="E3" s="39" t="s">
        <v>47</v>
      </c>
      <c r="F3" s="25">
        <v>411</v>
      </c>
      <c r="G3" s="25">
        <v>411</v>
      </c>
      <c r="H3" s="25">
        <v>411</v>
      </c>
      <c r="I3" s="25">
        <v>411</v>
      </c>
      <c r="J3" s="25">
        <v>411</v>
      </c>
      <c r="K3" s="25">
        <v>411</v>
      </c>
      <c r="L3" s="25">
        <v>411</v>
      </c>
      <c r="M3" s="25">
        <v>411</v>
      </c>
      <c r="N3" s="25">
        <v>411</v>
      </c>
      <c r="O3" s="25">
        <v>411</v>
      </c>
      <c r="P3" s="25">
        <v>411</v>
      </c>
      <c r="Q3" s="25">
        <v>411</v>
      </c>
      <c r="R3" s="25">
        <v>411</v>
      </c>
      <c r="S3" s="25">
        <v>411</v>
      </c>
      <c r="T3" s="25">
        <v>411</v>
      </c>
      <c r="U3" s="25">
        <v>411</v>
      </c>
      <c r="V3" s="25">
        <v>411</v>
      </c>
      <c r="W3" s="25">
        <v>411</v>
      </c>
      <c r="X3" s="25">
        <v>411</v>
      </c>
      <c r="Y3" s="25">
        <v>411</v>
      </c>
    </row>
    <row r="4" spans="5:25">
      <c r="E4" s="39" t="s">
        <v>48</v>
      </c>
      <c r="F4" s="25">
        <v>411</v>
      </c>
      <c r="G4" s="25">
        <v>411</v>
      </c>
      <c r="H4" s="25">
        <v>411</v>
      </c>
      <c r="I4" s="25">
        <v>411</v>
      </c>
      <c r="J4" s="25">
        <v>411</v>
      </c>
      <c r="K4" s="25">
        <v>411</v>
      </c>
      <c r="L4" s="25">
        <v>411</v>
      </c>
      <c r="M4" s="25">
        <v>411</v>
      </c>
      <c r="N4" s="25">
        <v>411</v>
      </c>
      <c r="O4" s="25">
        <v>411</v>
      </c>
      <c r="P4" s="25">
        <v>411</v>
      </c>
      <c r="Q4" s="25">
        <v>411</v>
      </c>
      <c r="R4" s="25">
        <v>411</v>
      </c>
      <c r="S4" s="25">
        <v>411</v>
      </c>
      <c r="T4" s="25">
        <v>411</v>
      </c>
      <c r="U4" s="25">
        <v>411</v>
      </c>
      <c r="V4" s="25">
        <v>411</v>
      </c>
      <c r="W4" s="25">
        <v>411</v>
      </c>
      <c r="X4" s="25">
        <v>411</v>
      </c>
      <c r="Y4" s="25">
        <v>411</v>
      </c>
    </row>
    <row r="5" spans="5:25">
      <c r="E5" s="39" t="s">
        <v>49</v>
      </c>
      <c r="F5" s="25">
        <v>411</v>
      </c>
      <c r="G5" s="25">
        <v>411</v>
      </c>
      <c r="H5" s="25">
        <v>411</v>
      </c>
      <c r="I5" s="25">
        <v>411</v>
      </c>
      <c r="J5" s="25">
        <v>411</v>
      </c>
      <c r="K5" s="25">
        <v>411</v>
      </c>
      <c r="L5" s="25">
        <v>411</v>
      </c>
      <c r="M5" s="25">
        <v>411</v>
      </c>
      <c r="N5" s="25">
        <v>411</v>
      </c>
      <c r="O5" s="25">
        <v>411</v>
      </c>
      <c r="P5" s="25">
        <v>411</v>
      </c>
      <c r="Q5" s="25">
        <v>411</v>
      </c>
      <c r="R5" s="25">
        <v>411</v>
      </c>
      <c r="S5" s="25">
        <v>411</v>
      </c>
      <c r="T5" s="25">
        <v>411</v>
      </c>
      <c r="U5" s="25">
        <v>411</v>
      </c>
      <c r="V5" s="25">
        <v>411</v>
      </c>
      <c r="W5" s="25">
        <v>411</v>
      </c>
      <c r="X5" s="25">
        <v>411</v>
      </c>
      <c r="Y5" s="25">
        <v>411</v>
      </c>
    </row>
    <row r="6" spans="5:25">
      <c r="E6" s="39" t="s">
        <v>50</v>
      </c>
      <c r="F6" s="25">
        <v>411</v>
      </c>
      <c r="G6" s="25">
        <v>411</v>
      </c>
      <c r="H6" s="25">
        <v>411</v>
      </c>
      <c r="I6" s="25">
        <v>411</v>
      </c>
      <c r="J6" s="25">
        <v>411</v>
      </c>
      <c r="K6" s="25">
        <v>411</v>
      </c>
      <c r="L6" s="25">
        <v>411</v>
      </c>
      <c r="M6" s="25">
        <v>411</v>
      </c>
      <c r="N6" s="25">
        <v>411</v>
      </c>
      <c r="O6" s="25">
        <v>411</v>
      </c>
      <c r="P6" s="25">
        <v>411</v>
      </c>
      <c r="Q6" s="25">
        <v>411</v>
      </c>
      <c r="R6" s="25">
        <v>411</v>
      </c>
      <c r="S6" s="25">
        <v>411</v>
      </c>
      <c r="T6" s="25">
        <v>411</v>
      </c>
      <c r="U6" s="25">
        <v>411</v>
      </c>
      <c r="V6" s="25">
        <v>411</v>
      </c>
      <c r="W6" s="25">
        <v>411</v>
      </c>
      <c r="X6" s="25">
        <v>411</v>
      </c>
      <c r="Y6" s="25">
        <v>411</v>
      </c>
    </row>
    <row r="7" spans="5:25">
      <c r="E7" s="39" t="s">
        <v>51</v>
      </c>
      <c r="F7" s="25">
        <v>411</v>
      </c>
      <c r="G7" s="25">
        <v>411</v>
      </c>
      <c r="H7" s="25">
        <v>411</v>
      </c>
      <c r="I7" s="25">
        <v>411</v>
      </c>
      <c r="J7" s="25">
        <v>411</v>
      </c>
      <c r="K7" s="25">
        <v>411</v>
      </c>
      <c r="L7" s="25">
        <v>411</v>
      </c>
      <c r="M7" s="25">
        <v>411</v>
      </c>
      <c r="N7" s="25">
        <v>411</v>
      </c>
      <c r="O7" s="25">
        <v>411</v>
      </c>
      <c r="P7" s="25">
        <v>411</v>
      </c>
      <c r="Q7" s="25">
        <v>411</v>
      </c>
      <c r="R7" s="25">
        <v>411</v>
      </c>
      <c r="S7" s="25">
        <v>411</v>
      </c>
      <c r="T7" s="25">
        <v>411</v>
      </c>
      <c r="U7" s="25">
        <v>411</v>
      </c>
      <c r="V7" s="25">
        <v>411</v>
      </c>
      <c r="W7" s="25">
        <v>411</v>
      </c>
      <c r="X7" s="25">
        <v>411</v>
      </c>
      <c r="Y7" s="25">
        <v>411</v>
      </c>
    </row>
    <row r="8" spans="5:25">
      <c r="E8" s="39" t="s">
        <v>52</v>
      </c>
      <c r="F8" s="25">
        <v>411</v>
      </c>
      <c r="G8" s="25">
        <v>411</v>
      </c>
      <c r="H8" s="25">
        <v>411</v>
      </c>
      <c r="I8" s="25">
        <v>411</v>
      </c>
      <c r="J8" s="25">
        <v>411</v>
      </c>
      <c r="K8" s="25">
        <v>411</v>
      </c>
      <c r="L8" s="25">
        <v>411</v>
      </c>
      <c r="M8" s="25">
        <v>411</v>
      </c>
      <c r="N8" s="25">
        <v>411</v>
      </c>
      <c r="O8" s="25">
        <v>411</v>
      </c>
      <c r="P8" s="25">
        <v>411</v>
      </c>
      <c r="Q8" s="25">
        <v>411</v>
      </c>
      <c r="R8" s="25">
        <v>411</v>
      </c>
      <c r="S8" s="25">
        <v>411</v>
      </c>
      <c r="T8" s="25">
        <v>411</v>
      </c>
      <c r="U8" s="25">
        <v>411</v>
      </c>
      <c r="V8" s="25">
        <v>411</v>
      </c>
      <c r="W8" s="25">
        <v>411</v>
      </c>
      <c r="X8" s="25">
        <v>411</v>
      </c>
      <c r="Y8" s="25">
        <v>411</v>
      </c>
    </row>
    <row r="9" spans="5:25">
      <c r="E9" s="39" t="s">
        <v>53</v>
      </c>
      <c r="F9" s="25">
        <v>411</v>
      </c>
      <c r="G9" s="25">
        <v>411</v>
      </c>
      <c r="H9" s="25">
        <v>411</v>
      </c>
      <c r="I9" s="25">
        <v>411</v>
      </c>
      <c r="J9" s="25">
        <v>411</v>
      </c>
      <c r="K9" s="25">
        <v>411</v>
      </c>
      <c r="L9" s="25">
        <v>411</v>
      </c>
      <c r="M9" s="25">
        <v>411</v>
      </c>
      <c r="N9" s="25">
        <v>411</v>
      </c>
      <c r="O9" s="25">
        <v>411</v>
      </c>
      <c r="P9" s="25">
        <v>411</v>
      </c>
      <c r="Q9" s="25">
        <v>411</v>
      </c>
      <c r="R9" s="25">
        <v>411</v>
      </c>
      <c r="S9" s="25">
        <v>411</v>
      </c>
      <c r="T9" s="25">
        <v>411</v>
      </c>
      <c r="U9" s="25">
        <v>411</v>
      </c>
      <c r="V9" s="25">
        <v>411</v>
      </c>
      <c r="W9" s="25">
        <v>411</v>
      </c>
      <c r="X9" s="25">
        <v>411</v>
      </c>
      <c r="Y9" s="25">
        <v>411</v>
      </c>
    </row>
    <row r="10" spans="5:25">
      <c r="E10" s="39" t="s">
        <v>54</v>
      </c>
      <c r="F10" s="25">
        <v>411</v>
      </c>
      <c r="G10" s="25">
        <v>411</v>
      </c>
      <c r="H10" s="25">
        <v>411</v>
      </c>
      <c r="I10" s="25">
        <v>411</v>
      </c>
      <c r="J10" s="25">
        <v>411</v>
      </c>
      <c r="K10" s="25">
        <v>411</v>
      </c>
      <c r="L10" s="25">
        <v>411</v>
      </c>
      <c r="M10" s="25">
        <v>411</v>
      </c>
      <c r="N10" s="25">
        <v>411</v>
      </c>
      <c r="O10" s="25">
        <v>411</v>
      </c>
      <c r="P10" s="25">
        <v>411</v>
      </c>
      <c r="Q10" s="25">
        <v>411</v>
      </c>
      <c r="R10" s="25">
        <v>411</v>
      </c>
      <c r="S10" s="25">
        <v>411</v>
      </c>
      <c r="T10" s="25">
        <v>411</v>
      </c>
      <c r="U10" s="25">
        <v>411</v>
      </c>
      <c r="V10" s="25">
        <v>411</v>
      </c>
      <c r="W10" s="25">
        <v>411</v>
      </c>
      <c r="X10" s="25">
        <v>411</v>
      </c>
      <c r="Y10" s="25">
        <v>411</v>
      </c>
    </row>
    <row r="11" spans="5:25">
      <c r="E11" s="39" t="s">
        <v>55</v>
      </c>
      <c r="F11" s="25">
        <v>411</v>
      </c>
      <c r="G11" s="25">
        <v>411</v>
      </c>
      <c r="H11" s="25">
        <v>411</v>
      </c>
      <c r="I11" s="25">
        <v>411</v>
      </c>
      <c r="J11" s="25">
        <v>411</v>
      </c>
      <c r="K11" s="25">
        <v>411</v>
      </c>
      <c r="L11" s="25">
        <v>411</v>
      </c>
      <c r="M11" s="25">
        <v>411</v>
      </c>
      <c r="N11" s="25">
        <v>411</v>
      </c>
      <c r="O11" s="25">
        <v>411</v>
      </c>
      <c r="P11" s="25">
        <v>411</v>
      </c>
      <c r="Q11" s="25">
        <v>411</v>
      </c>
      <c r="R11" s="25">
        <v>411</v>
      </c>
      <c r="S11" s="25">
        <v>411</v>
      </c>
      <c r="T11" s="25">
        <v>411</v>
      </c>
      <c r="U11" s="25">
        <v>411</v>
      </c>
      <c r="V11" s="25">
        <v>411</v>
      </c>
      <c r="W11" s="25">
        <v>411</v>
      </c>
      <c r="X11" s="25">
        <v>411</v>
      </c>
      <c r="Y11" s="25">
        <v>411</v>
      </c>
    </row>
    <row r="12" spans="5:25">
      <c r="E12" s="39" t="s">
        <v>56</v>
      </c>
      <c r="F12" s="25">
        <v>411</v>
      </c>
      <c r="G12" s="25">
        <v>411</v>
      </c>
      <c r="H12" s="25">
        <v>411</v>
      </c>
      <c r="I12" s="25">
        <v>411</v>
      </c>
      <c r="J12" s="25">
        <v>411</v>
      </c>
      <c r="K12" s="25">
        <v>411</v>
      </c>
      <c r="L12" s="25">
        <v>411</v>
      </c>
      <c r="M12" s="25">
        <v>411</v>
      </c>
      <c r="N12" s="25">
        <v>411</v>
      </c>
      <c r="O12" s="25">
        <v>411</v>
      </c>
      <c r="P12" s="25">
        <v>411</v>
      </c>
      <c r="Q12" s="25">
        <v>411</v>
      </c>
      <c r="R12" s="25">
        <v>411</v>
      </c>
      <c r="S12" s="25">
        <v>411</v>
      </c>
      <c r="T12" s="25">
        <v>411</v>
      </c>
      <c r="U12" s="25">
        <v>411</v>
      </c>
      <c r="V12" s="25">
        <v>411</v>
      </c>
      <c r="W12" s="25">
        <v>411</v>
      </c>
      <c r="X12" s="25">
        <v>411</v>
      </c>
      <c r="Y12" s="25">
        <v>411</v>
      </c>
    </row>
    <row r="13" spans="5:25">
      <c r="E13" s="39" t="s">
        <v>57</v>
      </c>
      <c r="F13" s="25">
        <v>411</v>
      </c>
      <c r="G13" s="25">
        <v>411</v>
      </c>
      <c r="H13" s="25">
        <v>411</v>
      </c>
      <c r="I13" s="25">
        <v>411</v>
      </c>
      <c r="J13" s="25">
        <v>411</v>
      </c>
      <c r="K13" s="25">
        <v>411</v>
      </c>
      <c r="L13" s="25">
        <v>411</v>
      </c>
      <c r="M13" s="25">
        <v>411</v>
      </c>
      <c r="N13" s="25">
        <v>411</v>
      </c>
      <c r="O13" s="25">
        <v>411</v>
      </c>
      <c r="P13" s="25">
        <v>411</v>
      </c>
      <c r="Q13" s="25">
        <v>411</v>
      </c>
      <c r="R13" s="25">
        <v>411</v>
      </c>
      <c r="S13" s="25">
        <v>411</v>
      </c>
      <c r="T13" s="25">
        <v>411</v>
      </c>
      <c r="U13" s="25">
        <v>411</v>
      </c>
      <c r="V13" s="25">
        <v>411</v>
      </c>
      <c r="W13" s="25">
        <v>411</v>
      </c>
      <c r="X13" s="25">
        <v>411</v>
      </c>
      <c r="Y13" s="25">
        <v>411</v>
      </c>
    </row>
    <row r="14" spans="5:25">
      <c r="E14" s="39" t="s">
        <v>58</v>
      </c>
      <c r="F14" s="25">
        <v>411</v>
      </c>
      <c r="G14" s="25">
        <v>411</v>
      </c>
      <c r="H14" s="25">
        <v>411</v>
      </c>
      <c r="I14" s="25">
        <v>411</v>
      </c>
      <c r="J14" s="25">
        <v>411</v>
      </c>
      <c r="K14" s="25">
        <v>411</v>
      </c>
      <c r="L14" s="25">
        <v>411</v>
      </c>
      <c r="M14" s="25">
        <v>411</v>
      </c>
      <c r="N14" s="25">
        <v>411</v>
      </c>
      <c r="O14" s="25">
        <v>411</v>
      </c>
      <c r="P14" s="25">
        <v>411</v>
      </c>
      <c r="Q14" s="25">
        <v>411</v>
      </c>
      <c r="R14" s="25">
        <v>411</v>
      </c>
      <c r="S14" s="25">
        <v>411</v>
      </c>
      <c r="T14" s="25">
        <v>411</v>
      </c>
      <c r="U14" s="25">
        <v>411</v>
      </c>
      <c r="V14" s="25">
        <v>411</v>
      </c>
      <c r="W14" s="25">
        <v>411</v>
      </c>
      <c r="X14" s="25">
        <v>411</v>
      </c>
      <c r="Y14" s="25">
        <v>411</v>
      </c>
    </row>
    <row r="15" spans="5:25">
      <c r="E15" s="39" t="s">
        <v>59</v>
      </c>
      <c r="F15" s="25">
        <v>411</v>
      </c>
      <c r="G15" s="25">
        <v>411</v>
      </c>
      <c r="H15" s="25">
        <v>411</v>
      </c>
      <c r="I15" s="25">
        <v>411</v>
      </c>
      <c r="J15" s="25">
        <v>411</v>
      </c>
      <c r="K15" s="25">
        <v>411</v>
      </c>
      <c r="L15" s="25">
        <v>411</v>
      </c>
      <c r="M15" s="25">
        <v>411</v>
      </c>
      <c r="N15" s="25">
        <v>411</v>
      </c>
      <c r="O15" s="25">
        <v>411</v>
      </c>
      <c r="P15" s="25">
        <v>411</v>
      </c>
      <c r="Q15" s="25">
        <v>411</v>
      </c>
      <c r="R15" s="25">
        <v>411</v>
      </c>
      <c r="S15" s="25">
        <v>411</v>
      </c>
      <c r="T15" s="25">
        <v>411</v>
      </c>
      <c r="U15" s="25">
        <v>411</v>
      </c>
      <c r="V15" s="25">
        <v>411</v>
      </c>
      <c r="W15" s="25">
        <v>411</v>
      </c>
      <c r="X15" s="25">
        <v>411</v>
      </c>
      <c r="Y15" s="25">
        <v>411</v>
      </c>
    </row>
    <row r="16" spans="5:25">
      <c r="E16" s="39" t="s">
        <v>60</v>
      </c>
      <c r="F16" s="25">
        <v>411</v>
      </c>
      <c r="G16" s="25">
        <v>411</v>
      </c>
      <c r="H16" s="25">
        <v>411</v>
      </c>
      <c r="I16" s="25">
        <v>411</v>
      </c>
      <c r="J16" s="25">
        <v>411</v>
      </c>
      <c r="K16" s="25">
        <v>411</v>
      </c>
      <c r="L16" s="25">
        <v>411</v>
      </c>
      <c r="M16" s="25">
        <v>411</v>
      </c>
      <c r="N16" s="25">
        <v>411</v>
      </c>
      <c r="O16" s="25">
        <v>411</v>
      </c>
      <c r="P16" s="25">
        <v>411</v>
      </c>
      <c r="Q16" s="25">
        <v>411</v>
      </c>
      <c r="R16" s="25">
        <v>411</v>
      </c>
      <c r="S16" s="25">
        <v>411</v>
      </c>
      <c r="T16" s="25">
        <v>411</v>
      </c>
      <c r="U16" s="25">
        <v>411</v>
      </c>
      <c r="V16" s="25">
        <v>411</v>
      </c>
      <c r="W16" s="25">
        <v>411</v>
      </c>
      <c r="X16" s="25">
        <v>411</v>
      </c>
      <c r="Y16" s="25">
        <v>411</v>
      </c>
    </row>
    <row r="17" spans="5:25">
      <c r="E17" s="39" t="s">
        <v>61</v>
      </c>
      <c r="F17" s="25">
        <v>411</v>
      </c>
      <c r="G17" s="25">
        <v>411</v>
      </c>
      <c r="H17" s="25">
        <v>411</v>
      </c>
      <c r="I17" s="25">
        <v>411</v>
      </c>
      <c r="J17" s="25">
        <v>411</v>
      </c>
      <c r="K17" s="25">
        <v>411</v>
      </c>
      <c r="L17" s="25">
        <v>411</v>
      </c>
      <c r="M17" s="25">
        <v>411</v>
      </c>
      <c r="N17" s="25">
        <v>411</v>
      </c>
      <c r="O17" s="25">
        <v>411</v>
      </c>
      <c r="P17" s="25">
        <v>411</v>
      </c>
      <c r="Q17" s="25">
        <v>411</v>
      </c>
      <c r="R17" s="25">
        <v>411</v>
      </c>
      <c r="S17" s="25">
        <v>411</v>
      </c>
      <c r="T17" s="25">
        <v>411</v>
      </c>
      <c r="U17" s="25">
        <v>411</v>
      </c>
      <c r="V17" s="25">
        <v>411</v>
      </c>
      <c r="W17" s="25">
        <v>411</v>
      </c>
      <c r="X17" s="25">
        <v>411</v>
      </c>
      <c r="Y17" s="25">
        <v>411</v>
      </c>
    </row>
    <row r="18" spans="5:25">
      <c r="E18" s="39" t="s">
        <v>62</v>
      </c>
      <c r="F18" s="25">
        <v>411</v>
      </c>
      <c r="G18" s="25">
        <v>411</v>
      </c>
      <c r="H18" s="25">
        <v>411</v>
      </c>
      <c r="I18" s="25">
        <v>411</v>
      </c>
      <c r="J18" s="25">
        <v>411</v>
      </c>
      <c r="K18" s="25">
        <v>411</v>
      </c>
      <c r="L18" s="25">
        <v>411</v>
      </c>
      <c r="M18" s="25">
        <v>411</v>
      </c>
      <c r="N18" s="25">
        <v>411</v>
      </c>
      <c r="O18" s="25">
        <v>411</v>
      </c>
      <c r="P18" s="25">
        <v>411</v>
      </c>
      <c r="Q18" s="25">
        <v>411</v>
      </c>
      <c r="R18" s="25">
        <v>411</v>
      </c>
      <c r="S18" s="25">
        <v>411</v>
      </c>
      <c r="T18" s="25">
        <v>411</v>
      </c>
      <c r="U18" s="25">
        <v>411</v>
      </c>
      <c r="V18" s="25">
        <v>411</v>
      </c>
      <c r="W18" s="25">
        <v>411</v>
      </c>
      <c r="X18" s="25">
        <v>411</v>
      </c>
      <c r="Y18" s="25">
        <v>411</v>
      </c>
    </row>
    <row r="19" spans="5:25">
      <c r="E19" s="39" t="s">
        <v>63</v>
      </c>
      <c r="F19" s="25">
        <v>411</v>
      </c>
      <c r="G19" s="25">
        <v>411</v>
      </c>
      <c r="H19" s="25">
        <v>411</v>
      </c>
      <c r="I19" s="25">
        <v>411</v>
      </c>
      <c r="J19" s="25">
        <v>411</v>
      </c>
      <c r="K19" s="25">
        <v>411</v>
      </c>
      <c r="L19" s="25">
        <v>411</v>
      </c>
      <c r="M19" s="25">
        <v>411</v>
      </c>
      <c r="N19" s="25">
        <v>411</v>
      </c>
      <c r="O19" s="25">
        <v>411</v>
      </c>
      <c r="P19" s="25">
        <v>411</v>
      </c>
      <c r="Q19" s="25">
        <v>411</v>
      </c>
      <c r="R19" s="25">
        <v>411</v>
      </c>
      <c r="S19" s="25">
        <v>411</v>
      </c>
      <c r="T19" s="25">
        <v>411</v>
      </c>
      <c r="U19" s="25">
        <v>411</v>
      </c>
      <c r="V19" s="25">
        <v>411</v>
      </c>
      <c r="W19" s="25">
        <v>411</v>
      </c>
      <c r="X19" s="25">
        <v>411</v>
      </c>
      <c r="Y19" s="25">
        <v>411</v>
      </c>
    </row>
    <row r="20" spans="5:25">
      <c r="E20" s="39" t="s">
        <v>64</v>
      </c>
      <c r="F20" s="25">
        <v>411</v>
      </c>
      <c r="G20" s="25">
        <v>411</v>
      </c>
      <c r="H20" s="25">
        <v>411</v>
      </c>
      <c r="I20" s="25">
        <v>411</v>
      </c>
      <c r="J20" s="25">
        <v>411</v>
      </c>
      <c r="K20" s="25">
        <v>411</v>
      </c>
      <c r="L20" s="25">
        <v>411</v>
      </c>
      <c r="M20" s="25">
        <v>411</v>
      </c>
      <c r="N20" s="25">
        <v>411</v>
      </c>
      <c r="O20" s="25">
        <v>411</v>
      </c>
      <c r="P20" s="25">
        <v>411</v>
      </c>
      <c r="Q20" s="25">
        <v>411</v>
      </c>
      <c r="R20" s="25">
        <v>411</v>
      </c>
      <c r="S20" s="25">
        <v>411</v>
      </c>
      <c r="T20" s="25">
        <v>411</v>
      </c>
      <c r="U20" s="25">
        <v>411</v>
      </c>
      <c r="V20" s="25">
        <v>411</v>
      </c>
      <c r="W20" s="25">
        <v>411</v>
      </c>
      <c r="X20" s="25">
        <v>411</v>
      </c>
      <c r="Y20" s="25">
        <v>411</v>
      </c>
    </row>
    <row r="21" spans="5:25">
      <c r="E21" s="39" t="s">
        <v>65</v>
      </c>
      <c r="F21" s="25">
        <v>411</v>
      </c>
      <c r="G21" s="25">
        <v>411</v>
      </c>
      <c r="H21" s="25">
        <v>411</v>
      </c>
      <c r="I21" s="25">
        <v>411</v>
      </c>
      <c r="J21" s="25">
        <v>411</v>
      </c>
      <c r="K21" s="25">
        <v>411</v>
      </c>
      <c r="L21" s="25">
        <v>411</v>
      </c>
      <c r="M21" s="25">
        <v>411</v>
      </c>
      <c r="N21" s="25">
        <v>411</v>
      </c>
      <c r="O21" s="25">
        <v>411</v>
      </c>
      <c r="P21" s="25">
        <v>411</v>
      </c>
      <c r="Q21" s="25">
        <v>411</v>
      </c>
      <c r="R21" s="25">
        <v>411</v>
      </c>
      <c r="S21" s="25">
        <v>411</v>
      </c>
      <c r="T21" s="25">
        <v>411</v>
      </c>
      <c r="U21" s="25">
        <v>411</v>
      </c>
      <c r="V21" s="25">
        <v>411</v>
      </c>
      <c r="W21" s="25">
        <v>411</v>
      </c>
      <c r="X21" s="25">
        <v>411</v>
      </c>
      <c r="Y21" s="25">
        <v>411</v>
      </c>
    </row>
    <row r="22" spans="5:25">
      <c r="E22" s="39" t="s">
        <v>20</v>
      </c>
      <c r="F22" s="25">
        <v>411</v>
      </c>
      <c r="G22" s="25">
        <v>411</v>
      </c>
      <c r="H22" s="25">
        <v>411</v>
      </c>
      <c r="I22" s="25">
        <v>411</v>
      </c>
      <c r="J22" s="25">
        <v>411</v>
      </c>
      <c r="K22" s="25">
        <v>411</v>
      </c>
      <c r="L22" s="25">
        <v>411</v>
      </c>
      <c r="M22" s="25">
        <v>411</v>
      </c>
      <c r="N22" s="25">
        <v>411</v>
      </c>
      <c r="O22" s="25">
        <v>411</v>
      </c>
      <c r="P22" s="25">
        <v>411</v>
      </c>
      <c r="Q22" s="25">
        <v>411</v>
      </c>
      <c r="R22" s="25">
        <v>411</v>
      </c>
      <c r="S22" s="25">
        <v>411</v>
      </c>
      <c r="T22" s="25">
        <v>411</v>
      </c>
      <c r="U22" s="25">
        <v>411</v>
      </c>
      <c r="V22" s="25">
        <v>411</v>
      </c>
      <c r="W22" s="25">
        <v>411</v>
      </c>
      <c r="X22" s="25">
        <v>411</v>
      </c>
      <c r="Y22" s="25">
        <v>411</v>
      </c>
    </row>
    <row r="23" spans="5:25">
      <c r="E23" s="39" t="s">
        <v>21</v>
      </c>
      <c r="F23" s="25">
        <v>411</v>
      </c>
      <c r="G23" s="25">
        <v>411</v>
      </c>
      <c r="H23" s="25">
        <v>411</v>
      </c>
      <c r="I23" s="25">
        <v>411</v>
      </c>
      <c r="J23" s="25">
        <v>411</v>
      </c>
      <c r="K23" s="25">
        <v>411</v>
      </c>
      <c r="L23" s="25">
        <v>411</v>
      </c>
      <c r="M23" s="25">
        <v>411</v>
      </c>
      <c r="N23" s="25">
        <v>411</v>
      </c>
      <c r="O23" s="25">
        <v>411</v>
      </c>
      <c r="P23" s="25">
        <v>411</v>
      </c>
      <c r="Q23" s="25">
        <v>411</v>
      </c>
      <c r="R23" s="25">
        <v>411</v>
      </c>
      <c r="S23" s="25">
        <v>411</v>
      </c>
      <c r="T23" s="25">
        <v>411</v>
      </c>
      <c r="U23" s="25">
        <v>411</v>
      </c>
      <c r="V23" s="25">
        <v>411</v>
      </c>
      <c r="W23" s="25">
        <v>411</v>
      </c>
      <c r="X23" s="25">
        <v>411</v>
      </c>
      <c r="Y23" s="25">
        <v>411</v>
      </c>
    </row>
    <row r="24" spans="5:25">
      <c r="E24" s="39" t="s">
        <v>22</v>
      </c>
      <c r="F24" s="25">
        <v>411</v>
      </c>
      <c r="G24" s="25">
        <v>411</v>
      </c>
      <c r="H24" s="25">
        <v>411</v>
      </c>
      <c r="I24" s="25">
        <v>411</v>
      </c>
      <c r="J24" s="25">
        <v>411</v>
      </c>
      <c r="K24" s="25">
        <v>411</v>
      </c>
      <c r="L24" s="25">
        <v>411</v>
      </c>
      <c r="M24" s="25">
        <v>411</v>
      </c>
      <c r="N24" s="25">
        <v>411</v>
      </c>
      <c r="O24" s="25">
        <v>411</v>
      </c>
      <c r="P24" s="25">
        <v>411</v>
      </c>
      <c r="Q24" s="25">
        <v>411</v>
      </c>
      <c r="R24" s="25">
        <v>411</v>
      </c>
      <c r="S24" s="25">
        <v>411</v>
      </c>
      <c r="T24" s="25">
        <v>411</v>
      </c>
      <c r="U24" s="25">
        <v>411</v>
      </c>
      <c r="V24" s="25">
        <v>411</v>
      </c>
      <c r="W24" s="25">
        <v>411</v>
      </c>
      <c r="X24" s="25">
        <v>411</v>
      </c>
      <c r="Y24" s="25">
        <v>411</v>
      </c>
    </row>
    <row r="25" spans="5:25">
      <c r="E25" s="39" t="s">
        <v>23</v>
      </c>
      <c r="F25" s="25">
        <v>411</v>
      </c>
      <c r="G25" s="25">
        <v>411</v>
      </c>
      <c r="H25" s="25">
        <v>411</v>
      </c>
      <c r="I25" s="25">
        <v>411</v>
      </c>
      <c r="J25" s="25">
        <v>411</v>
      </c>
      <c r="K25" s="25">
        <v>411</v>
      </c>
      <c r="L25" s="25">
        <v>411</v>
      </c>
      <c r="M25" s="25">
        <v>411</v>
      </c>
      <c r="N25" s="25">
        <v>411</v>
      </c>
      <c r="O25" s="25">
        <v>411</v>
      </c>
      <c r="P25" s="25">
        <v>411</v>
      </c>
      <c r="Q25" s="25">
        <v>411</v>
      </c>
      <c r="R25" s="25">
        <v>411</v>
      </c>
      <c r="S25" s="25">
        <v>411</v>
      </c>
      <c r="T25" s="25">
        <v>411</v>
      </c>
      <c r="U25" s="25">
        <v>411</v>
      </c>
      <c r="V25" s="25">
        <v>411</v>
      </c>
      <c r="W25" s="25">
        <v>411</v>
      </c>
      <c r="X25" s="25">
        <v>411</v>
      </c>
      <c r="Y25" s="25">
        <v>411</v>
      </c>
    </row>
    <row r="26" spans="5:25">
      <c r="E26" s="39" t="s">
        <v>24</v>
      </c>
      <c r="F26" s="25">
        <v>411</v>
      </c>
      <c r="G26" s="25">
        <v>411</v>
      </c>
      <c r="H26" s="25">
        <v>411</v>
      </c>
      <c r="I26" s="25">
        <v>411</v>
      </c>
      <c r="J26" s="25">
        <v>411</v>
      </c>
      <c r="K26" s="25">
        <v>411</v>
      </c>
      <c r="L26" s="25">
        <v>411</v>
      </c>
      <c r="M26" s="25">
        <v>411</v>
      </c>
      <c r="N26" s="25">
        <v>411</v>
      </c>
      <c r="O26" s="25">
        <v>411</v>
      </c>
      <c r="P26" s="25">
        <v>411</v>
      </c>
      <c r="Q26" s="25">
        <v>411</v>
      </c>
      <c r="R26" s="25">
        <v>411</v>
      </c>
      <c r="S26" s="25">
        <v>411</v>
      </c>
      <c r="T26" s="25">
        <v>411</v>
      </c>
      <c r="U26" s="25">
        <v>411</v>
      </c>
      <c r="V26" s="25">
        <v>411</v>
      </c>
      <c r="W26" s="25">
        <v>411</v>
      </c>
      <c r="X26" s="25">
        <v>411</v>
      </c>
      <c r="Y26" s="25">
        <v>411</v>
      </c>
    </row>
    <row r="27" spans="5:25">
      <c r="E27" s="39" t="s">
        <v>25</v>
      </c>
      <c r="F27" s="25">
        <v>411</v>
      </c>
      <c r="G27" s="25">
        <v>411</v>
      </c>
      <c r="H27" s="25">
        <v>411</v>
      </c>
      <c r="I27" s="25">
        <v>411</v>
      </c>
      <c r="J27" s="25">
        <v>411</v>
      </c>
      <c r="K27" s="25">
        <v>411</v>
      </c>
      <c r="L27" s="25">
        <v>411</v>
      </c>
      <c r="M27" s="25">
        <v>411</v>
      </c>
      <c r="N27" s="25">
        <v>411</v>
      </c>
      <c r="O27" s="25">
        <v>411</v>
      </c>
      <c r="P27" s="25">
        <v>411</v>
      </c>
      <c r="Q27" s="25">
        <v>411</v>
      </c>
      <c r="R27" s="25">
        <v>411</v>
      </c>
      <c r="S27" s="25">
        <v>411</v>
      </c>
      <c r="T27" s="25">
        <v>411</v>
      </c>
      <c r="U27" s="25">
        <v>411</v>
      </c>
      <c r="V27" s="25">
        <v>411</v>
      </c>
      <c r="W27" s="25">
        <v>411</v>
      </c>
      <c r="X27" s="25">
        <v>411</v>
      </c>
      <c r="Y27" s="25">
        <v>411</v>
      </c>
    </row>
    <row r="28" spans="5:25">
      <c r="E28" s="39" t="s">
        <v>26</v>
      </c>
      <c r="F28" s="25">
        <v>411</v>
      </c>
      <c r="G28" s="25">
        <v>411</v>
      </c>
      <c r="H28" s="25">
        <v>411</v>
      </c>
      <c r="I28" s="25">
        <v>411</v>
      </c>
      <c r="J28" s="25">
        <v>411</v>
      </c>
      <c r="K28" s="25">
        <v>411</v>
      </c>
      <c r="L28" s="25">
        <v>411</v>
      </c>
      <c r="M28" s="25">
        <v>411</v>
      </c>
      <c r="N28" s="25">
        <v>411</v>
      </c>
      <c r="O28" s="25">
        <v>411</v>
      </c>
      <c r="P28" s="25">
        <v>411</v>
      </c>
      <c r="Q28" s="25">
        <v>411</v>
      </c>
      <c r="R28" s="25">
        <v>411</v>
      </c>
      <c r="S28" s="25">
        <v>411</v>
      </c>
      <c r="T28" s="25">
        <v>411</v>
      </c>
      <c r="U28" s="25">
        <v>411</v>
      </c>
      <c r="V28" s="25">
        <v>411</v>
      </c>
      <c r="W28" s="25">
        <v>411</v>
      </c>
      <c r="X28" s="25">
        <v>411</v>
      </c>
      <c r="Y28" s="25">
        <v>411</v>
      </c>
    </row>
    <row r="29" spans="5:25">
      <c r="E29" s="39" t="s">
        <v>27</v>
      </c>
      <c r="F29" s="25">
        <v>411</v>
      </c>
      <c r="G29" s="25">
        <v>411</v>
      </c>
      <c r="H29" s="25">
        <v>411</v>
      </c>
      <c r="I29" s="25">
        <v>411</v>
      </c>
      <c r="J29" s="25">
        <v>411</v>
      </c>
      <c r="K29" s="25">
        <v>411</v>
      </c>
      <c r="L29" s="25">
        <v>411</v>
      </c>
      <c r="M29" s="25">
        <v>411</v>
      </c>
      <c r="N29" s="25">
        <v>411</v>
      </c>
      <c r="O29" s="25">
        <v>411</v>
      </c>
      <c r="P29" s="25">
        <v>411</v>
      </c>
      <c r="Q29" s="25">
        <v>411</v>
      </c>
      <c r="R29" s="25">
        <v>411</v>
      </c>
      <c r="S29" s="25">
        <v>411</v>
      </c>
      <c r="T29" s="25">
        <v>411</v>
      </c>
      <c r="U29" s="25">
        <v>411</v>
      </c>
      <c r="V29" s="25">
        <v>411</v>
      </c>
      <c r="W29" s="25">
        <v>411</v>
      </c>
      <c r="X29" s="25">
        <v>411</v>
      </c>
      <c r="Y29" s="25">
        <v>411</v>
      </c>
    </row>
    <row r="30" spans="5:25">
      <c r="E30" s="39" t="s">
        <v>28</v>
      </c>
      <c r="F30" s="25">
        <v>411</v>
      </c>
      <c r="G30" s="25">
        <v>411</v>
      </c>
      <c r="H30" s="25">
        <v>411</v>
      </c>
      <c r="I30" s="25">
        <v>411</v>
      </c>
      <c r="J30" s="25">
        <v>411</v>
      </c>
      <c r="K30" s="25">
        <v>411</v>
      </c>
      <c r="L30" s="25">
        <v>411</v>
      </c>
      <c r="M30" s="25">
        <v>411</v>
      </c>
      <c r="N30" s="25">
        <v>411</v>
      </c>
      <c r="O30" s="25">
        <v>411</v>
      </c>
      <c r="P30" s="25">
        <v>411</v>
      </c>
      <c r="Q30" s="25">
        <v>411</v>
      </c>
      <c r="R30" s="25">
        <v>411</v>
      </c>
      <c r="S30" s="25">
        <v>411</v>
      </c>
      <c r="T30" s="25">
        <v>411</v>
      </c>
      <c r="U30" s="25">
        <v>411</v>
      </c>
      <c r="V30" s="25">
        <v>411</v>
      </c>
      <c r="W30" s="25">
        <v>411</v>
      </c>
      <c r="X30" s="25">
        <v>411</v>
      </c>
      <c r="Y30" s="25">
        <v>411</v>
      </c>
    </row>
    <row r="31" spans="5:25">
      <c r="E31" s="39" t="s">
        <v>29</v>
      </c>
      <c r="F31" s="25">
        <v>411</v>
      </c>
      <c r="G31" s="25">
        <v>411</v>
      </c>
      <c r="H31" s="25">
        <v>411</v>
      </c>
      <c r="I31" s="25">
        <v>411</v>
      </c>
      <c r="J31" s="25">
        <v>411</v>
      </c>
      <c r="K31" s="25">
        <v>411</v>
      </c>
      <c r="L31" s="25">
        <v>411</v>
      </c>
      <c r="M31" s="25">
        <v>411</v>
      </c>
      <c r="N31" s="25">
        <v>411</v>
      </c>
      <c r="O31" s="25">
        <v>411</v>
      </c>
      <c r="P31" s="25">
        <v>411</v>
      </c>
      <c r="Q31" s="25">
        <v>411</v>
      </c>
      <c r="R31" s="25">
        <v>411</v>
      </c>
      <c r="S31" s="25">
        <v>411</v>
      </c>
      <c r="T31" s="25">
        <v>411</v>
      </c>
      <c r="U31" s="25">
        <v>411</v>
      </c>
      <c r="V31" s="25">
        <v>411</v>
      </c>
      <c r="W31" s="25">
        <v>411</v>
      </c>
      <c r="X31" s="25">
        <v>411</v>
      </c>
      <c r="Y31" s="25">
        <v>411</v>
      </c>
    </row>
    <row r="32" spans="5:25">
      <c r="E32" s="39" t="s">
        <v>30</v>
      </c>
      <c r="F32" s="25">
        <v>411</v>
      </c>
      <c r="G32" s="25">
        <v>411</v>
      </c>
      <c r="H32" s="25">
        <v>411</v>
      </c>
      <c r="I32" s="25">
        <v>411</v>
      </c>
      <c r="J32" s="25">
        <v>411</v>
      </c>
      <c r="K32" s="25">
        <v>411</v>
      </c>
      <c r="L32" s="25">
        <v>411</v>
      </c>
      <c r="M32" s="25">
        <v>411</v>
      </c>
      <c r="N32" s="25">
        <v>411</v>
      </c>
      <c r="O32" s="25">
        <v>411</v>
      </c>
      <c r="P32" s="25">
        <v>411</v>
      </c>
      <c r="Q32" s="25">
        <v>411</v>
      </c>
      <c r="R32" s="25">
        <v>411</v>
      </c>
      <c r="S32" s="25">
        <v>411</v>
      </c>
      <c r="T32" s="25">
        <v>411</v>
      </c>
      <c r="U32" s="25">
        <v>411</v>
      </c>
      <c r="V32" s="25">
        <v>411</v>
      </c>
      <c r="W32" s="25">
        <v>411</v>
      </c>
      <c r="X32" s="25">
        <v>411</v>
      </c>
      <c r="Y32" s="25">
        <v>411</v>
      </c>
    </row>
    <row r="33" spans="5:25">
      <c r="E33" s="39" t="s">
        <v>31</v>
      </c>
      <c r="F33" s="25">
        <v>411</v>
      </c>
      <c r="G33" s="25">
        <v>411</v>
      </c>
      <c r="H33" s="25">
        <v>411</v>
      </c>
      <c r="I33" s="25">
        <v>411</v>
      </c>
      <c r="J33" s="25">
        <v>411</v>
      </c>
      <c r="K33" s="25">
        <v>411</v>
      </c>
      <c r="L33" s="25">
        <v>411</v>
      </c>
      <c r="M33" s="25">
        <v>411</v>
      </c>
      <c r="N33" s="25">
        <v>411</v>
      </c>
      <c r="O33" s="25">
        <v>411</v>
      </c>
      <c r="P33" s="25">
        <v>411</v>
      </c>
      <c r="Q33" s="25">
        <v>411</v>
      </c>
      <c r="R33" s="25">
        <v>411</v>
      </c>
      <c r="S33" s="25">
        <v>411</v>
      </c>
      <c r="T33" s="25">
        <v>411</v>
      </c>
      <c r="U33" s="25">
        <v>411</v>
      </c>
      <c r="V33" s="25">
        <v>411</v>
      </c>
      <c r="W33" s="25">
        <v>411</v>
      </c>
      <c r="X33" s="25">
        <v>411</v>
      </c>
      <c r="Y33" s="25">
        <v>411</v>
      </c>
    </row>
    <row r="34" spans="5:25">
      <c r="E34" s="39" t="s">
        <v>32</v>
      </c>
      <c r="F34" s="25">
        <v>411</v>
      </c>
      <c r="G34" s="25">
        <v>411</v>
      </c>
      <c r="H34" s="25">
        <v>411</v>
      </c>
      <c r="I34" s="25">
        <v>411</v>
      </c>
      <c r="J34" s="25">
        <v>411</v>
      </c>
      <c r="K34" s="25">
        <v>411</v>
      </c>
      <c r="L34" s="25">
        <v>411</v>
      </c>
      <c r="M34" s="25">
        <v>411</v>
      </c>
      <c r="N34" s="25">
        <v>411</v>
      </c>
      <c r="O34" s="25">
        <v>411</v>
      </c>
      <c r="P34" s="25">
        <v>411</v>
      </c>
      <c r="Q34" s="25">
        <v>411</v>
      </c>
      <c r="R34" s="25">
        <v>411</v>
      </c>
      <c r="S34" s="25">
        <v>411</v>
      </c>
      <c r="T34" s="25">
        <v>411</v>
      </c>
      <c r="U34" s="25">
        <v>411</v>
      </c>
      <c r="V34" s="25">
        <v>411</v>
      </c>
      <c r="W34" s="25">
        <v>411</v>
      </c>
      <c r="X34" s="25">
        <v>411</v>
      </c>
      <c r="Y34" s="25">
        <v>411</v>
      </c>
    </row>
    <row r="35" spans="5:25">
      <c r="E35" s="39" t="s">
        <v>33</v>
      </c>
      <c r="F35" s="25">
        <v>411</v>
      </c>
      <c r="G35" s="25">
        <v>411</v>
      </c>
      <c r="H35" s="25">
        <v>411</v>
      </c>
      <c r="I35" s="25">
        <v>411</v>
      </c>
      <c r="J35" s="25">
        <v>411</v>
      </c>
      <c r="K35" s="25">
        <v>411</v>
      </c>
      <c r="L35" s="25">
        <v>411</v>
      </c>
      <c r="M35" s="25">
        <v>411</v>
      </c>
      <c r="N35" s="25">
        <v>411</v>
      </c>
      <c r="O35" s="25">
        <v>411</v>
      </c>
      <c r="P35" s="25">
        <v>411</v>
      </c>
      <c r="Q35" s="25">
        <v>411</v>
      </c>
      <c r="R35" s="25">
        <v>411</v>
      </c>
      <c r="S35" s="25">
        <v>411</v>
      </c>
      <c r="T35" s="25">
        <v>411</v>
      </c>
      <c r="U35" s="25">
        <v>411</v>
      </c>
      <c r="V35" s="25">
        <v>411</v>
      </c>
      <c r="W35" s="25">
        <v>411</v>
      </c>
      <c r="X35" s="25">
        <v>411</v>
      </c>
      <c r="Y35" s="25">
        <v>411</v>
      </c>
    </row>
    <row r="36" spans="5:25">
      <c r="E36" s="39" t="s">
        <v>34</v>
      </c>
      <c r="F36" s="25">
        <v>411</v>
      </c>
      <c r="G36" s="25">
        <v>411</v>
      </c>
      <c r="H36" s="25">
        <v>411</v>
      </c>
      <c r="I36" s="25">
        <v>411</v>
      </c>
      <c r="J36" s="25">
        <v>411</v>
      </c>
      <c r="K36" s="25">
        <v>411</v>
      </c>
      <c r="L36" s="25">
        <v>411</v>
      </c>
      <c r="M36" s="25">
        <v>411</v>
      </c>
      <c r="N36" s="25">
        <v>411</v>
      </c>
      <c r="O36" s="25">
        <v>411</v>
      </c>
      <c r="P36" s="25">
        <v>411</v>
      </c>
      <c r="Q36" s="25">
        <v>411</v>
      </c>
      <c r="R36" s="25">
        <v>411</v>
      </c>
      <c r="S36" s="25">
        <v>411</v>
      </c>
      <c r="T36" s="25">
        <v>411</v>
      </c>
      <c r="U36" s="25">
        <v>411</v>
      </c>
      <c r="V36" s="25">
        <v>411</v>
      </c>
      <c r="W36" s="25">
        <v>411</v>
      </c>
      <c r="X36" s="25">
        <v>411</v>
      </c>
      <c r="Y36" s="25">
        <v>411</v>
      </c>
    </row>
    <row r="37" spans="5:25">
      <c r="E37" s="39" t="s">
        <v>35</v>
      </c>
      <c r="F37" s="25">
        <v>411</v>
      </c>
      <c r="G37" s="25">
        <v>411</v>
      </c>
      <c r="H37" s="25">
        <v>411</v>
      </c>
      <c r="I37" s="25">
        <v>411</v>
      </c>
      <c r="J37" s="25">
        <v>411</v>
      </c>
      <c r="K37" s="25">
        <v>411</v>
      </c>
      <c r="L37" s="25">
        <v>411</v>
      </c>
      <c r="M37" s="25">
        <v>411</v>
      </c>
      <c r="N37" s="25">
        <v>411</v>
      </c>
      <c r="O37" s="25">
        <v>411</v>
      </c>
      <c r="P37" s="25">
        <v>411</v>
      </c>
      <c r="Q37" s="25">
        <v>411</v>
      </c>
      <c r="R37" s="25">
        <v>411</v>
      </c>
      <c r="S37" s="25">
        <v>411</v>
      </c>
      <c r="T37" s="25">
        <v>411</v>
      </c>
      <c r="U37" s="25">
        <v>411</v>
      </c>
      <c r="V37" s="25">
        <v>411</v>
      </c>
      <c r="W37" s="25">
        <v>411</v>
      </c>
      <c r="X37" s="25">
        <v>411</v>
      </c>
      <c r="Y37" s="25">
        <v>411</v>
      </c>
    </row>
    <row r="38" spans="5:25">
      <c r="E38" s="39" t="s">
        <v>36</v>
      </c>
      <c r="F38" s="25">
        <v>411</v>
      </c>
      <c r="G38" s="25">
        <v>411</v>
      </c>
      <c r="H38" s="25">
        <v>411</v>
      </c>
      <c r="I38" s="25">
        <v>411</v>
      </c>
      <c r="J38" s="25">
        <v>411</v>
      </c>
      <c r="K38" s="25">
        <v>411</v>
      </c>
      <c r="L38" s="25">
        <v>411</v>
      </c>
      <c r="M38" s="25">
        <v>411</v>
      </c>
      <c r="N38" s="25">
        <v>411</v>
      </c>
      <c r="O38" s="25">
        <v>411</v>
      </c>
      <c r="P38" s="25">
        <v>411</v>
      </c>
      <c r="Q38" s="25">
        <v>411</v>
      </c>
      <c r="R38" s="25">
        <v>411</v>
      </c>
      <c r="S38" s="25">
        <v>411</v>
      </c>
      <c r="T38" s="25">
        <v>411</v>
      </c>
      <c r="U38" s="25">
        <v>411</v>
      </c>
      <c r="V38" s="25">
        <v>411</v>
      </c>
      <c r="W38" s="25">
        <v>411</v>
      </c>
      <c r="X38" s="25">
        <v>411</v>
      </c>
      <c r="Y38" s="25">
        <v>411</v>
      </c>
    </row>
    <row r="39" spans="5:25">
      <c r="E39" s="39" t="s">
        <v>37</v>
      </c>
      <c r="F39" s="25">
        <v>411</v>
      </c>
      <c r="G39" s="25">
        <v>411</v>
      </c>
      <c r="H39" s="25">
        <v>411</v>
      </c>
      <c r="I39" s="25">
        <v>411</v>
      </c>
      <c r="J39" s="25">
        <v>411</v>
      </c>
      <c r="K39" s="25">
        <v>411</v>
      </c>
      <c r="L39" s="25">
        <v>411</v>
      </c>
      <c r="M39" s="25">
        <v>411</v>
      </c>
      <c r="N39" s="25">
        <v>411</v>
      </c>
      <c r="O39" s="25">
        <v>411</v>
      </c>
      <c r="P39" s="25">
        <v>411</v>
      </c>
      <c r="Q39" s="25">
        <v>411</v>
      </c>
      <c r="R39" s="25">
        <v>411</v>
      </c>
      <c r="S39" s="25">
        <v>411</v>
      </c>
      <c r="T39" s="25">
        <v>411</v>
      </c>
      <c r="U39" s="25">
        <v>411</v>
      </c>
      <c r="V39" s="25">
        <v>411</v>
      </c>
      <c r="W39" s="25">
        <v>411</v>
      </c>
      <c r="X39" s="25">
        <v>411</v>
      </c>
      <c r="Y39" s="25">
        <v>411</v>
      </c>
    </row>
    <row r="40" spans="5:25">
      <c r="E40" s="39" t="s">
        <v>38</v>
      </c>
      <c r="F40" s="25">
        <v>411</v>
      </c>
      <c r="G40" s="25">
        <v>411</v>
      </c>
      <c r="H40" s="25">
        <v>411</v>
      </c>
      <c r="I40" s="25">
        <v>411</v>
      </c>
      <c r="J40" s="25">
        <v>411</v>
      </c>
      <c r="K40" s="25">
        <v>411</v>
      </c>
      <c r="L40" s="25">
        <v>411</v>
      </c>
      <c r="M40" s="25">
        <v>411</v>
      </c>
      <c r="N40" s="25">
        <v>411</v>
      </c>
      <c r="O40" s="25">
        <v>411</v>
      </c>
      <c r="P40" s="25">
        <v>411</v>
      </c>
      <c r="Q40" s="25">
        <v>411</v>
      </c>
      <c r="R40" s="25">
        <v>411</v>
      </c>
      <c r="S40" s="25">
        <v>411</v>
      </c>
      <c r="T40" s="25">
        <v>411</v>
      </c>
      <c r="U40" s="25">
        <v>411</v>
      </c>
      <c r="V40" s="25">
        <v>411</v>
      </c>
      <c r="W40" s="25">
        <v>411</v>
      </c>
      <c r="X40" s="25">
        <v>411</v>
      </c>
      <c r="Y40" s="25">
        <v>411</v>
      </c>
    </row>
    <row r="41" spans="5:25">
      <c r="E41" s="39" t="s">
        <v>39</v>
      </c>
      <c r="F41" s="25">
        <v>411</v>
      </c>
      <c r="G41" s="25">
        <v>411</v>
      </c>
      <c r="H41" s="25">
        <v>411</v>
      </c>
      <c r="I41" s="25">
        <v>411</v>
      </c>
      <c r="J41" s="25">
        <v>411</v>
      </c>
      <c r="K41" s="25">
        <v>411</v>
      </c>
      <c r="L41" s="25">
        <v>411</v>
      </c>
      <c r="M41" s="25">
        <v>411</v>
      </c>
      <c r="N41" s="25">
        <v>411</v>
      </c>
      <c r="O41" s="25">
        <v>411</v>
      </c>
      <c r="P41" s="25">
        <v>411</v>
      </c>
      <c r="Q41" s="25">
        <v>411</v>
      </c>
      <c r="R41" s="25">
        <v>411</v>
      </c>
      <c r="S41" s="25">
        <v>411</v>
      </c>
      <c r="T41" s="25">
        <v>411</v>
      </c>
      <c r="U41" s="25">
        <v>411</v>
      </c>
      <c r="V41" s="25">
        <v>411</v>
      </c>
      <c r="W41" s="25">
        <v>411</v>
      </c>
      <c r="X41" s="25">
        <v>411</v>
      </c>
      <c r="Y41" s="25">
        <v>411</v>
      </c>
    </row>
    <row r="42" spans="5:25">
      <c r="E42" s="39" t="s">
        <v>40</v>
      </c>
      <c r="F42" s="25">
        <v>411</v>
      </c>
      <c r="G42" s="25">
        <v>411</v>
      </c>
      <c r="H42" s="25">
        <v>411</v>
      </c>
      <c r="I42" s="25">
        <v>411</v>
      </c>
      <c r="J42" s="25">
        <v>411</v>
      </c>
      <c r="K42" s="25">
        <v>411</v>
      </c>
      <c r="L42" s="25">
        <v>411</v>
      </c>
      <c r="M42" s="25">
        <v>411</v>
      </c>
      <c r="N42" s="25">
        <v>411</v>
      </c>
      <c r="O42" s="25">
        <v>411</v>
      </c>
      <c r="P42" s="25">
        <v>411</v>
      </c>
      <c r="Q42" s="25">
        <v>411</v>
      </c>
      <c r="R42" s="25">
        <v>411</v>
      </c>
      <c r="S42" s="25">
        <v>411</v>
      </c>
      <c r="T42" s="25">
        <v>411</v>
      </c>
      <c r="U42" s="25">
        <v>411</v>
      </c>
      <c r="V42" s="25">
        <v>411</v>
      </c>
      <c r="W42" s="25">
        <v>411</v>
      </c>
      <c r="X42" s="25">
        <v>411</v>
      </c>
      <c r="Y42" s="25">
        <v>411</v>
      </c>
    </row>
    <row r="43" spans="5:25">
      <c r="E43" s="39" t="s">
        <v>41</v>
      </c>
      <c r="F43" s="25">
        <v>411</v>
      </c>
      <c r="G43" s="25">
        <v>411</v>
      </c>
      <c r="H43" s="25">
        <v>411</v>
      </c>
      <c r="I43" s="25">
        <v>411</v>
      </c>
      <c r="J43" s="25">
        <v>411</v>
      </c>
      <c r="K43" s="25">
        <v>411</v>
      </c>
      <c r="L43" s="25">
        <v>411</v>
      </c>
      <c r="M43" s="25">
        <v>411</v>
      </c>
      <c r="N43" s="25">
        <v>411</v>
      </c>
      <c r="O43" s="25">
        <v>411</v>
      </c>
      <c r="P43" s="25">
        <v>411</v>
      </c>
      <c r="Q43" s="25">
        <v>411</v>
      </c>
      <c r="R43" s="25">
        <v>411</v>
      </c>
      <c r="S43" s="25">
        <v>411</v>
      </c>
      <c r="T43" s="25">
        <v>411</v>
      </c>
      <c r="U43" s="25">
        <v>411</v>
      </c>
      <c r="V43" s="25">
        <v>411</v>
      </c>
      <c r="W43" s="25">
        <v>411</v>
      </c>
      <c r="X43" s="25">
        <v>411</v>
      </c>
      <c r="Y43" s="25">
        <v>411</v>
      </c>
    </row>
    <row r="44" spans="5:25">
      <c r="E44" s="39" t="s">
        <v>42</v>
      </c>
      <c r="F44" s="25">
        <v>411</v>
      </c>
      <c r="G44" s="25">
        <v>411</v>
      </c>
      <c r="H44" s="25">
        <v>411</v>
      </c>
      <c r="I44" s="25">
        <v>411</v>
      </c>
      <c r="J44" s="25">
        <v>411</v>
      </c>
      <c r="K44" s="25">
        <v>411</v>
      </c>
      <c r="L44" s="25">
        <v>411</v>
      </c>
      <c r="M44" s="25">
        <v>411</v>
      </c>
      <c r="N44" s="25">
        <v>411</v>
      </c>
      <c r="O44" s="25">
        <v>411</v>
      </c>
      <c r="P44" s="25">
        <v>411</v>
      </c>
      <c r="Q44" s="25">
        <v>411</v>
      </c>
      <c r="R44" s="25">
        <v>411</v>
      </c>
      <c r="S44" s="25">
        <v>411</v>
      </c>
      <c r="T44" s="25">
        <v>411</v>
      </c>
      <c r="U44" s="25">
        <v>411</v>
      </c>
      <c r="V44" s="25">
        <v>411</v>
      </c>
      <c r="W44" s="25">
        <v>411</v>
      </c>
      <c r="X44" s="25">
        <v>411</v>
      </c>
      <c r="Y44" s="25">
        <v>411</v>
      </c>
    </row>
    <row r="45" spans="5:25">
      <c r="E45" s="39" t="s">
        <v>43</v>
      </c>
      <c r="F45" s="25">
        <v>411</v>
      </c>
      <c r="G45" s="25">
        <v>411</v>
      </c>
      <c r="H45" s="25">
        <v>411</v>
      </c>
      <c r="I45" s="25">
        <v>411</v>
      </c>
      <c r="J45" s="25">
        <v>411</v>
      </c>
      <c r="K45" s="25">
        <v>411</v>
      </c>
      <c r="L45" s="25">
        <v>411</v>
      </c>
      <c r="M45" s="25">
        <v>411</v>
      </c>
      <c r="N45" s="25">
        <v>411</v>
      </c>
      <c r="O45" s="25">
        <v>411</v>
      </c>
      <c r="P45" s="25">
        <v>411</v>
      </c>
      <c r="Q45" s="25">
        <v>411</v>
      </c>
      <c r="R45" s="25">
        <v>411</v>
      </c>
      <c r="S45" s="25">
        <v>411</v>
      </c>
      <c r="T45" s="25">
        <v>411</v>
      </c>
      <c r="U45" s="25">
        <v>411</v>
      </c>
      <c r="V45" s="25">
        <v>411</v>
      </c>
      <c r="W45" s="25">
        <v>411</v>
      </c>
      <c r="X45" s="25">
        <v>411</v>
      </c>
      <c r="Y45" s="25">
        <v>411</v>
      </c>
    </row>
    <row r="46" spans="5:25">
      <c r="E46" s="39" t="s">
        <v>44</v>
      </c>
      <c r="F46" s="25">
        <v>411</v>
      </c>
      <c r="G46" s="25">
        <v>411</v>
      </c>
      <c r="H46" s="25">
        <v>411</v>
      </c>
      <c r="I46" s="25">
        <v>411</v>
      </c>
      <c r="J46" s="25">
        <v>411</v>
      </c>
      <c r="K46" s="25">
        <v>411</v>
      </c>
      <c r="L46" s="25">
        <v>411</v>
      </c>
      <c r="M46" s="25">
        <v>411</v>
      </c>
      <c r="N46" s="25">
        <v>411</v>
      </c>
      <c r="O46" s="25">
        <v>411</v>
      </c>
      <c r="P46" s="25">
        <v>411</v>
      </c>
      <c r="Q46" s="25">
        <v>411</v>
      </c>
      <c r="R46" s="25">
        <v>411</v>
      </c>
      <c r="S46" s="25">
        <v>411</v>
      </c>
      <c r="T46" s="25">
        <v>411</v>
      </c>
      <c r="U46" s="25">
        <v>411</v>
      </c>
      <c r="V46" s="25">
        <v>411</v>
      </c>
      <c r="W46" s="25">
        <v>411</v>
      </c>
      <c r="X46" s="25">
        <v>411</v>
      </c>
      <c r="Y46" s="25">
        <v>411</v>
      </c>
    </row>
    <row r="47" spans="5:25">
      <c r="E47" s="39" t="s">
        <v>45</v>
      </c>
      <c r="F47" s="25">
        <v>411</v>
      </c>
      <c r="G47" s="25">
        <v>411</v>
      </c>
      <c r="H47" s="25">
        <v>411</v>
      </c>
      <c r="I47" s="25">
        <v>411</v>
      </c>
      <c r="J47" s="25">
        <v>411</v>
      </c>
      <c r="K47" s="25">
        <v>411</v>
      </c>
      <c r="L47" s="25">
        <v>411</v>
      </c>
      <c r="M47" s="25">
        <v>411</v>
      </c>
      <c r="N47" s="25">
        <v>411</v>
      </c>
      <c r="O47" s="25">
        <v>411</v>
      </c>
      <c r="P47" s="25">
        <v>411</v>
      </c>
      <c r="Q47" s="25">
        <v>411</v>
      </c>
      <c r="R47" s="25">
        <v>411</v>
      </c>
      <c r="S47" s="25">
        <v>411</v>
      </c>
      <c r="T47" s="25">
        <v>411</v>
      </c>
      <c r="U47" s="25">
        <v>411</v>
      </c>
      <c r="V47" s="25">
        <v>411</v>
      </c>
      <c r="W47" s="25">
        <v>411</v>
      </c>
      <c r="X47" s="25">
        <v>411</v>
      </c>
      <c r="Y47" s="25">
        <v>411</v>
      </c>
    </row>
    <row r="48" spans="5:25">
      <c r="E48" s="39" t="s">
        <v>119</v>
      </c>
      <c r="F48" s="25">
        <v>411</v>
      </c>
      <c r="G48" s="25">
        <v>411</v>
      </c>
      <c r="H48" s="25">
        <v>411</v>
      </c>
      <c r="I48" s="25">
        <v>411</v>
      </c>
      <c r="J48" s="25">
        <v>411</v>
      </c>
      <c r="K48" s="25">
        <v>411</v>
      </c>
      <c r="L48" s="25">
        <v>411</v>
      </c>
      <c r="M48" s="25">
        <v>411</v>
      </c>
      <c r="N48" s="25">
        <v>411</v>
      </c>
      <c r="O48" s="25">
        <v>411</v>
      </c>
      <c r="P48" s="25">
        <v>411</v>
      </c>
      <c r="Q48" s="25">
        <v>411</v>
      </c>
      <c r="R48" s="25">
        <v>411</v>
      </c>
      <c r="S48" s="25">
        <v>411</v>
      </c>
      <c r="T48" s="25">
        <v>411</v>
      </c>
      <c r="U48" s="25">
        <v>411</v>
      </c>
      <c r="V48" s="25">
        <v>411</v>
      </c>
      <c r="W48" s="25">
        <v>411</v>
      </c>
      <c r="X48" s="25">
        <v>411</v>
      </c>
      <c r="Y48" s="25">
        <v>411</v>
      </c>
    </row>
    <row r="49" spans="5:25">
      <c r="E49" s="39" t="s">
        <v>120</v>
      </c>
      <c r="F49" s="25">
        <v>411</v>
      </c>
      <c r="G49" s="25">
        <v>411</v>
      </c>
      <c r="H49" s="25">
        <v>411</v>
      </c>
      <c r="I49" s="25">
        <v>411</v>
      </c>
      <c r="J49" s="25">
        <v>411</v>
      </c>
      <c r="K49" s="25">
        <v>411</v>
      </c>
      <c r="L49" s="25">
        <v>411</v>
      </c>
      <c r="M49" s="25">
        <v>411</v>
      </c>
      <c r="N49" s="25">
        <v>411</v>
      </c>
      <c r="O49" s="25">
        <v>411</v>
      </c>
      <c r="P49" s="25">
        <v>411</v>
      </c>
      <c r="Q49" s="25">
        <v>411</v>
      </c>
      <c r="R49" s="25">
        <v>411</v>
      </c>
      <c r="S49" s="25">
        <v>411</v>
      </c>
      <c r="T49" s="25">
        <v>411</v>
      </c>
      <c r="U49" s="25">
        <v>411</v>
      </c>
      <c r="V49" s="25">
        <v>411</v>
      </c>
      <c r="W49" s="25">
        <v>411</v>
      </c>
      <c r="X49" s="25">
        <v>411</v>
      </c>
      <c r="Y49" s="25">
        <v>411</v>
      </c>
    </row>
    <row r="50" spans="5:25">
      <c r="E50" s="39" t="s">
        <v>121</v>
      </c>
      <c r="F50" s="25">
        <v>411</v>
      </c>
      <c r="G50" s="25">
        <v>411</v>
      </c>
      <c r="H50" s="25">
        <v>411</v>
      </c>
      <c r="I50" s="25">
        <v>411</v>
      </c>
      <c r="J50" s="25">
        <v>411</v>
      </c>
      <c r="K50" s="25">
        <v>411</v>
      </c>
      <c r="L50" s="25">
        <v>411</v>
      </c>
      <c r="M50" s="25">
        <v>411</v>
      </c>
      <c r="N50" s="25">
        <v>411</v>
      </c>
      <c r="O50" s="25">
        <v>411</v>
      </c>
      <c r="P50" s="25">
        <v>411</v>
      </c>
      <c r="Q50" s="25">
        <v>411</v>
      </c>
      <c r="R50" s="25">
        <v>411</v>
      </c>
      <c r="S50" s="25">
        <v>411</v>
      </c>
      <c r="T50" s="25">
        <v>411</v>
      </c>
      <c r="U50" s="25">
        <v>411</v>
      </c>
      <c r="V50" s="25">
        <v>411</v>
      </c>
      <c r="W50" s="25">
        <v>411</v>
      </c>
      <c r="X50" s="25">
        <v>411</v>
      </c>
      <c r="Y50" s="25">
        <v>411</v>
      </c>
    </row>
    <row r="51" spans="5:25">
      <c r="E51" s="39" t="s">
        <v>122</v>
      </c>
      <c r="F51" s="25">
        <v>411</v>
      </c>
      <c r="G51" s="25">
        <v>411</v>
      </c>
      <c r="H51" s="25">
        <v>411</v>
      </c>
      <c r="I51" s="25">
        <v>411</v>
      </c>
      <c r="J51" s="25">
        <v>411</v>
      </c>
      <c r="K51" s="25">
        <v>411</v>
      </c>
      <c r="L51" s="25">
        <v>411</v>
      </c>
      <c r="M51" s="25">
        <v>411</v>
      </c>
      <c r="N51" s="25">
        <v>411</v>
      </c>
      <c r="O51" s="25">
        <v>411</v>
      </c>
      <c r="P51" s="25">
        <v>411</v>
      </c>
      <c r="Q51" s="25">
        <v>411</v>
      </c>
      <c r="R51" s="25">
        <v>411</v>
      </c>
      <c r="S51" s="25">
        <v>411</v>
      </c>
      <c r="T51" s="25">
        <v>411</v>
      </c>
      <c r="U51" s="25">
        <v>411</v>
      </c>
      <c r="V51" s="25">
        <v>411</v>
      </c>
      <c r="W51" s="25">
        <v>411</v>
      </c>
      <c r="X51" s="25">
        <v>411</v>
      </c>
      <c r="Y51" s="25">
        <v>411</v>
      </c>
    </row>
    <row r="52" spans="5:25">
      <c r="E52" s="39" t="s">
        <v>123</v>
      </c>
      <c r="F52" s="25">
        <v>411</v>
      </c>
      <c r="G52" s="25">
        <v>411</v>
      </c>
      <c r="H52" s="25">
        <v>411</v>
      </c>
      <c r="I52" s="25">
        <v>411</v>
      </c>
      <c r="J52" s="25">
        <v>411</v>
      </c>
      <c r="K52" s="25">
        <v>411</v>
      </c>
      <c r="L52" s="25">
        <v>411</v>
      </c>
      <c r="M52" s="25">
        <v>411</v>
      </c>
      <c r="N52" s="25">
        <v>411</v>
      </c>
      <c r="O52" s="25">
        <v>411</v>
      </c>
      <c r="P52" s="25">
        <v>411</v>
      </c>
      <c r="Q52" s="25">
        <v>411</v>
      </c>
      <c r="R52" s="25">
        <v>411</v>
      </c>
      <c r="S52" s="25">
        <v>411</v>
      </c>
      <c r="T52" s="25">
        <v>411</v>
      </c>
      <c r="U52" s="25">
        <v>411</v>
      </c>
      <c r="V52" s="25">
        <v>411</v>
      </c>
      <c r="W52" s="25">
        <v>411</v>
      </c>
      <c r="X52" s="25">
        <v>411</v>
      </c>
      <c r="Y52" s="25">
        <v>411</v>
      </c>
    </row>
    <row r="53" spans="5:25">
      <c r="E53" s="39" t="s">
        <v>124</v>
      </c>
      <c r="F53" s="25">
        <v>411</v>
      </c>
      <c r="G53" s="25">
        <v>411</v>
      </c>
      <c r="H53" s="25">
        <v>411</v>
      </c>
      <c r="I53" s="25">
        <v>411</v>
      </c>
      <c r="J53" s="25">
        <v>411</v>
      </c>
      <c r="K53" s="25">
        <v>411</v>
      </c>
      <c r="L53" s="25">
        <v>411</v>
      </c>
      <c r="M53" s="25">
        <v>411</v>
      </c>
      <c r="N53" s="25">
        <v>411</v>
      </c>
      <c r="O53" s="25">
        <v>411</v>
      </c>
      <c r="P53" s="25">
        <v>411</v>
      </c>
      <c r="Q53" s="25">
        <v>411</v>
      </c>
      <c r="R53" s="25">
        <v>411</v>
      </c>
      <c r="S53" s="25">
        <v>411</v>
      </c>
      <c r="T53" s="25">
        <v>411</v>
      </c>
      <c r="U53" s="25">
        <v>411</v>
      </c>
      <c r="V53" s="25">
        <v>411</v>
      </c>
      <c r="W53" s="25">
        <v>411</v>
      </c>
      <c r="X53" s="25">
        <v>411</v>
      </c>
      <c r="Y53" s="25">
        <v>411</v>
      </c>
    </row>
    <row r="54" spans="5:25">
      <c r="E54" s="39" t="s">
        <v>125</v>
      </c>
      <c r="F54" s="25">
        <v>411</v>
      </c>
      <c r="G54" s="25">
        <v>411</v>
      </c>
      <c r="H54" s="25">
        <v>411</v>
      </c>
      <c r="I54" s="25">
        <v>411</v>
      </c>
      <c r="J54" s="25">
        <v>411</v>
      </c>
      <c r="K54" s="25">
        <v>411</v>
      </c>
      <c r="L54" s="25">
        <v>411</v>
      </c>
      <c r="M54" s="25">
        <v>411</v>
      </c>
      <c r="N54" s="25">
        <v>411</v>
      </c>
      <c r="O54" s="25">
        <v>411</v>
      </c>
      <c r="P54" s="25">
        <v>411</v>
      </c>
      <c r="Q54" s="25">
        <v>411</v>
      </c>
      <c r="R54" s="25">
        <v>411</v>
      </c>
      <c r="S54" s="25">
        <v>411</v>
      </c>
      <c r="T54" s="25">
        <v>411</v>
      </c>
      <c r="U54" s="25">
        <v>411</v>
      </c>
      <c r="V54" s="25">
        <v>411</v>
      </c>
      <c r="W54" s="25">
        <v>411</v>
      </c>
      <c r="X54" s="25">
        <v>411</v>
      </c>
      <c r="Y54" s="25">
        <v>411</v>
      </c>
    </row>
    <row r="55" spans="5:25">
      <c r="E55" s="39" t="s">
        <v>126</v>
      </c>
      <c r="F55" s="25">
        <v>411</v>
      </c>
      <c r="G55" s="25">
        <v>411</v>
      </c>
      <c r="H55" s="25">
        <v>411</v>
      </c>
      <c r="I55" s="25">
        <v>411</v>
      </c>
      <c r="J55" s="25">
        <v>411</v>
      </c>
      <c r="K55" s="25">
        <v>411</v>
      </c>
      <c r="L55" s="25">
        <v>411</v>
      </c>
      <c r="M55" s="25">
        <v>411</v>
      </c>
      <c r="N55" s="25">
        <v>411</v>
      </c>
      <c r="O55" s="25">
        <v>411</v>
      </c>
      <c r="P55" s="25">
        <v>411</v>
      </c>
      <c r="Q55" s="25">
        <v>411</v>
      </c>
      <c r="R55" s="25">
        <v>411</v>
      </c>
      <c r="S55" s="25">
        <v>411</v>
      </c>
      <c r="T55" s="25">
        <v>411</v>
      </c>
      <c r="U55" s="25">
        <v>411</v>
      </c>
      <c r="V55" s="25">
        <v>411</v>
      </c>
      <c r="W55" s="25">
        <v>411</v>
      </c>
      <c r="X55" s="25">
        <v>411</v>
      </c>
      <c r="Y55" s="25">
        <v>411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1:Y62"/>
  <sheetViews>
    <sheetView workbookViewId="0">
      <selection activeCell="AF35" sqref="AF35"/>
    </sheetView>
  </sheetViews>
  <sheetFormatPr baseColWidth="10" defaultColWidth="9" defaultRowHeight="15"/>
  <sheetData>
    <row r="1" spans="5:25" ht="16">
      <c r="E1" s="3" t="s">
        <v>18</v>
      </c>
      <c r="F1" s="4" t="s">
        <v>66</v>
      </c>
      <c r="G1" s="4" t="s">
        <v>67</v>
      </c>
      <c r="H1" s="4" t="s">
        <v>68</v>
      </c>
      <c r="I1" s="27" t="s">
        <v>69</v>
      </c>
      <c r="J1" s="27" t="s">
        <v>70</v>
      </c>
      <c r="K1" s="27" t="s">
        <v>71</v>
      </c>
      <c r="L1" s="4" t="s">
        <v>72</v>
      </c>
      <c r="M1" s="4" t="s">
        <v>73</v>
      </c>
      <c r="N1" s="4" t="s">
        <v>74</v>
      </c>
      <c r="O1" s="4" t="s">
        <v>75</v>
      </c>
      <c r="P1" s="4" t="s">
        <v>76</v>
      </c>
      <c r="Q1" s="4" t="s">
        <v>77</v>
      </c>
      <c r="R1" s="4" t="s">
        <v>78</v>
      </c>
      <c r="S1" s="4" t="s">
        <v>79</v>
      </c>
      <c r="T1" s="27" t="s">
        <v>80</v>
      </c>
      <c r="U1" s="27" t="s">
        <v>81</v>
      </c>
      <c r="V1" s="27" t="s">
        <v>82</v>
      </c>
      <c r="W1" s="27" t="s">
        <v>83</v>
      </c>
      <c r="X1" s="27" t="s">
        <v>84</v>
      </c>
      <c r="Y1" s="27" t="s">
        <v>85</v>
      </c>
    </row>
    <row r="2" spans="5:25">
      <c r="E2" s="39" t="s">
        <v>46</v>
      </c>
      <c r="F2" s="25">
        <v>817.48010562876993</v>
      </c>
      <c r="G2" s="25">
        <v>817.48010562876993</v>
      </c>
      <c r="H2" s="25">
        <v>817.48010562876993</v>
      </c>
      <c r="I2" s="25">
        <v>576.92739148662099</v>
      </c>
      <c r="J2" s="25">
        <v>576.92739148662099</v>
      </c>
      <c r="K2" s="25">
        <v>576.92739148662099</v>
      </c>
      <c r="L2" s="25">
        <v>235.50681846744897</v>
      </c>
      <c r="M2" s="25">
        <v>346.02306323954303</v>
      </c>
      <c r="N2" s="25">
        <v>296.98111865103499</v>
      </c>
      <c r="O2" s="25">
        <v>-0.37771423391399139</v>
      </c>
      <c r="P2" s="25">
        <v>-0.37771423391399139</v>
      </c>
      <c r="Q2" s="25">
        <v>-1.6946071611016578E-2</v>
      </c>
      <c r="R2" s="25">
        <v>162.131043311236</v>
      </c>
      <c r="S2" s="25">
        <v>500.69538487561294</v>
      </c>
      <c r="T2" s="25">
        <v>846.91631887955009</v>
      </c>
      <c r="U2" s="25">
        <v>846.91631887955009</v>
      </c>
      <c r="V2" s="25">
        <v>846.91631887955009</v>
      </c>
      <c r="W2" s="25">
        <v>934.89347359964995</v>
      </c>
      <c r="X2" s="25">
        <v>934.89347359964995</v>
      </c>
      <c r="Y2" s="25">
        <v>934.89347359964995</v>
      </c>
    </row>
    <row r="3" spans="5:25">
      <c r="E3" s="39" t="s">
        <v>47</v>
      </c>
      <c r="F3" s="25">
        <v>817.48010562876993</v>
      </c>
      <c r="G3" s="25">
        <v>817.48010562876993</v>
      </c>
      <c r="H3" s="25">
        <v>817.48010562876993</v>
      </c>
      <c r="I3" s="25">
        <v>576.92739148662099</v>
      </c>
      <c r="J3" s="25">
        <v>576.92739148662099</v>
      </c>
      <c r="K3" s="25">
        <v>576.92739148662099</v>
      </c>
      <c r="L3" s="25">
        <v>235.50681846744897</v>
      </c>
      <c r="M3" s="25">
        <v>346.02306323954303</v>
      </c>
      <c r="N3" s="25">
        <v>296.98111865103499</v>
      </c>
      <c r="O3" s="25">
        <v>-0.37771423391399139</v>
      </c>
      <c r="P3" s="25">
        <v>-0.37771423391399139</v>
      </c>
      <c r="Q3" s="25">
        <v>-1.6946071611016578E-2</v>
      </c>
      <c r="R3" s="25">
        <v>162.131043311236</v>
      </c>
      <c r="S3" s="25">
        <v>500.69538487561294</v>
      </c>
      <c r="T3" s="25">
        <v>846.91631887955009</v>
      </c>
      <c r="U3" s="25">
        <v>846.91631887955009</v>
      </c>
      <c r="V3" s="25">
        <v>846.91631887955009</v>
      </c>
      <c r="W3" s="25">
        <v>934.89347359964995</v>
      </c>
      <c r="X3" s="25">
        <v>934.89347359964995</v>
      </c>
      <c r="Y3" s="25">
        <v>934.89347359964995</v>
      </c>
    </row>
    <row r="4" spans="5:25">
      <c r="E4" s="39" t="s">
        <v>48</v>
      </c>
      <c r="F4" s="25">
        <v>817.48010562876993</v>
      </c>
      <c r="G4" s="25">
        <v>817.48010562876993</v>
      </c>
      <c r="H4" s="25">
        <v>817.48010562876993</v>
      </c>
      <c r="I4" s="25">
        <v>576.92739148662099</v>
      </c>
      <c r="J4" s="25">
        <v>576.92739148662099</v>
      </c>
      <c r="K4" s="25">
        <v>576.92739148662099</v>
      </c>
      <c r="L4" s="25">
        <v>235.50681846744897</v>
      </c>
      <c r="M4" s="25">
        <v>346.02306323954303</v>
      </c>
      <c r="N4" s="25">
        <v>296.98111865103499</v>
      </c>
      <c r="O4" s="25">
        <v>-0.37771423391399139</v>
      </c>
      <c r="P4" s="25">
        <v>-0.37771423391399139</v>
      </c>
      <c r="Q4" s="25">
        <v>-1.6946071611016578E-2</v>
      </c>
      <c r="R4" s="25">
        <v>162.131043311236</v>
      </c>
      <c r="S4" s="25">
        <v>500.69538487561294</v>
      </c>
      <c r="T4" s="25">
        <v>846.91631887955009</v>
      </c>
      <c r="U4" s="25">
        <v>846.91631887955009</v>
      </c>
      <c r="V4" s="25">
        <v>846.91631887955009</v>
      </c>
      <c r="W4" s="25">
        <v>934.89347359964995</v>
      </c>
      <c r="X4" s="25">
        <v>934.89347359964995</v>
      </c>
      <c r="Y4" s="25">
        <v>934.89347359964995</v>
      </c>
    </row>
    <row r="5" spans="5:25">
      <c r="E5" s="39" t="s">
        <v>49</v>
      </c>
      <c r="F5" s="25">
        <v>817.48010562876993</v>
      </c>
      <c r="G5" s="25">
        <v>817.48010562876993</v>
      </c>
      <c r="H5" s="25">
        <v>817.48010562876993</v>
      </c>
      <c r="I5" s="25">
        <v>576.92739148662099</v>
      </c>
      <c r="J5" s="25">
        <v>576.92739148662099</v>
      </c>
      <c r="K5" s="25">
        <v>576.92739148662099</v>
      </c>
      <c r="L5" s="25">
        <v>235.50681846744897</v>
      </c>
      <c r="M5" s="25">
        <v>346.02306323954303</v>
      </c>
      <c r="N5" s="25">
        <v>296.98111865103499</v>
      </c>
      <c r="O5" s="25">
        <v>-0.37771423391399139</v>
      </c>
      <c r="P5" s="25">
        <v>-0.37771423391399139</v>
      </c>
      <c r="Q5" s="25">
        <v>-1.6946071611016578E-2</v>
      </c>
      <c r="R5" s="25">
        <v>162.131043311236</v>
      </c>
      <c r="S5" s="25">
        <v>500.69538487561294</v>
      </c>
      <c r="T5" s="25">
        <v>846.91631887955009</v>
      </c>
      <c r="U5" s="25">
        <v>846.91631887955009</v>
      </c>
      <c r="V5" s="25">
        <v>846.91631887955009</v>
      </c>
      <c r="W5" s="25">
        <v>934.89347359964995</v>
      </c>
      <c r="X5" s="25">
        <v>934.89347359964995</v>
      </c>
      <c r="Y5" s="25">
        <v>934.89347359964995</v>
      </c>
    </row>
    <row r="6" spans="5:25">
      <c r="E6" s="39" t="s">
        <v>50</v>
      </c>
      <c r="F6" s="25">
        <v>817.48010562876993</v>
      </c>
      <c r="G6" s="25">
        <v>817.48010562876993</v>
      </c>
      <c r="H6" s="25">
        <v>817.48010562876993</v>
      </c>
      <c r="I6" s="25">
        <v>576.92739148662099</v>
      </c>
      <c r="J6" s="25">
        <v>576.92739148662099</v>
      </c>
      <c r="K6" s="25">
        <v>576.92739148662099</v>
      </c>
      <c r="L6" s="25">
        <v>235.50681846744897</v>
      </c>
      <c r="M6" s="25">
        <v>346.02306323954303</v>
      </c>
      <c r="N6" s="25">
        <v>296.98111865103499</v>
      </c>
      <c r="O6" s="25">
        <v>-0.37771423391399139</v>
      </c>
      <c r="P6" s="25">
        <v>-0.37771423391399139</v>
      </c>
      <c r="Q6" s="25">
        <v>-1.6946071611016578E-2</v>
      </c>
      <c r="R6" s="25">
        <v>162.131043311236</v>
      </c>
      <c r="S6" s="25">
        <v>500.69538487561294</v>
      </c>
      <c r="T6" s="25">
        <v>846.91631887955009</v>
      </c>
      <c r="U6" s="25">
        <v>846.91631887955009</v>
      </c>
      <c r="V6" s="25">
        <v>846.91631887955009</v>
      </c>
      <c r="W6" s="25">
        <v>934.89347359964995</v>
      </c>
      <c r="X6" s="25">
        <v>934.89347359964995</v>
      </c>
      <c r="Y6" s="25">
        <v>934.89347359964995</v>
      </c>
    </row>
    <row r="7" spans="5:25">
      <c r="E7" s="39" t="s">
        <v>51</v>
      </c>
      <c r="F7" s="25">
        <v>817.48010562876993</v>
      </c>
      <c r="G7" s="25">
        <v>817.48010562876993</v>
      </c>
      <c r="H7" s="25">
        <v>817.48010562876993</v>
      </c>
      <c r="I7" s="25">
        <v>576.92739148662099</v>
      </c>
      <c r="J7" s="25">
        <v>576.92739148662099</v>
      </c>
      <c r="K7" s="25">
        <v>576.92739148662099</v>
      </c>
      <c r="L7" s="25">
        <v>235.50681846744897</v>
      </c>
      <c r="M7" s="25">
        <v>346.02306323954303</v>
      </c>
      <c r="N7" s="25">
        <v>296.98111865103499</v>
      </c>
      <c r="O7" s="25">
        <v>-0.37771423391399139</v>
      </c>
      <c r="P7" s="25">
        <v>-0.37771423391399139</v>
      </c>
      <c r="Q7" s="25">
        <v>-1.6946071611016578E-2</v>
      </c>
      <c r="R7" s="25">
        <v>162.131043311236</v>
      </c>
      <c r="S7" s="25">
        <v>500.69538487561294</v>
      </c>
      <c r="T7" s="25">
        <v>846.91631887955009</v>
      </c>
      <c r="U7" s="25">
        <v>846.91631887955009</v>
      </c>
      <c r="V7" s="25">
        <v>846.91631887955009</v>
      </c>
      <c r="W7" s="25">
        <v>934.89347359964995</v>
      </c>
      <c r="X7" s="25">
        <v>934.89347359964995</v>
      </c>
      <c r="Y7" s="25">
        <v>934.89347359964995</v>
      </c>
    </row>
    <row r="8" spans="5:25">
      <c r="E8" s="39" t="s">
        <v>52</v>
      </c>
      <c r="F8" s="25">
        <v>817.48010562876993</v>
      </c>
      <c r="G8" s="25">
        <v>817.48010562876993</v>
      </c>
      <c r="H8" s="25">
        <v>817.48010562876993</v>
      </c>
      <c r="I8" s="25">
        <v>576.92739148662099</v>
      </c>
      <c r="J8" s="25">
        <v>576.92739148662099</v>
      </c>
      <c r="K8" s="25">
        <v>576.92739148662099</v>
      </c>
      <c r="L8" s="25">
        <v>235.50681846744897</v>
      </c>
      <c r="M8" s="25">
        <v>346.02306323954303</v>
      </c>
      <c r="N8" s="25">
        <v>296.98111865103499</v>
      </c>
      <c r="O8" s="25">
        <v>-0.37771423391399139</v>
      </c>
      <c r="P8" s="25">
        <v>-0.37771423391399139</v>
      </c>
      <c r="Q8" s="25">
        <v>-1.6946071611016578E-2</v>
      </c>
      <c r="R8" s="25">
        <v>162.131043311236</v>
      </c>
      <c r="S8" s="25">
        <v>500.69538487561294</v>
      </c>
      <c r="T8" s="25">
        <v>846.91631887955009</v>
      </c>
      <c r="U8" s="25">
        <v>846.91631887955009</v>
      </c>
      <c r="V8" s="25">
        <v>846.91631887955009</v>
      </c>
      <c r="W8" s="25">
        <v>934.89347359964995</v>
      </c>
      <c r="X8" s="25">
        <v>934.89347359964995</v>
      </c>
      <c r="Y8" s="25">
        <v>934.89347359964995</v>
      </c>
    </row>
    <row r="9" spans="5:25">
      <c r="E9" s="39" t="s">
        <v>53</v>
      </c>
      <c r="F9" s="25">
        <v>817.48010562876993</v>
      </c>
      <c r="G9" s="25">
        <v>817.48010562876993</v>
      </c>
      <c r="H9" s="25">
        <v>817.48010562876993</v>
      </c>
      <c r="I9" s="25">
        <v>576.92739148662099</v>
      </c>
      <c r="J9" s="25">
        <v>576.92739148662099</v>
      </c>
      <c r="K9" s="25">
        <v>576.92739148662099</v>
      </c>
      <c r="L9" s="25">
        <v>235.50681846744897</v>
      </c>
      <c r="M9" s="25">
        <v>346.02306323954303</v>
      </c>
      <c r="N9" s="25">
        <v>296.98111865103499</v>
      </c>
      <c r="O9" s="25">
        <v>-0.37771423391399139</v>
      </c>
      <c r="P9" s="25">
        <v>-0.37771423391399139</v>
      </c>
      <c r="Q9" s="25">
        <v>-1.6946071611016578E-2</v>
      </c>
      <c r="R9" s="25">
        <v>162.131043311236</v>
      </c>
      <c r="S9" s="25">
        <v>500.69538487561294</v>
      </c>
      <c r="T9" s="25">
        <v>846.91631887955009</v>
      </c>
      <c r="U9" s="25">
        <v>846.91631887955009</v>
      </c>
      <c r="V9" s="25">
        <v>846.91631887955009</v>
      </c>
      <c r="W9" s="25">
        <v>934.89347359964995</v>
      </c>
      <c r="X9" s="25">
        <v>934.89347359964995</v>
      </c>
      <c r="Y9" s="25">
        <v>934.89347359964995</v>
      </c>
    </row>
    <row r="10" spans="5:25">
      <c r="E10" s="39" t="s">
        <v>54</v>
      </c>
      <c r="F10" s="25">
        <v>817.48010562876993</v>
      </c>
      <c r="G10" s="25">
        <v>817.48010562876993</v>
      </c>
      <c r="H10" s="25">
        <v>817.48010562876993</v>
      </c>
      <c r="I10" s="25">
        <v>576.92739148662099</v>
      </c>
      <c r="J10" s="25">
        <v>576.92739148662099</v>
      </c>
      <c r="K10" s="25">
        <v>576.92739148662099</v>
      </c>
      <c r="L10" s="25">
        <v>235.50681846744897</v>
      </c>
      <c r="M10" s="25">
        <v>346.02306323954303</v>
      </c>
      <c r="N10" s="25">
        <v>296.98111865103499</v>
      </c>
      <c r="O10" s="25">
        <v>-0.37771423391399139</v>
      </c>
      <c r="P10" s="25">
        <v>-0.37771423391399139</v>
      </c>
      <c r="Q10" s="25">
        <v>-1.6946071611016578E-2</v>
      </c>
      <c r="R10" s="25">
        <v>162.131043311236</v>
      </c>
      <c r="S10" s="25">
        <v>500.69538487561294</v>
      </c>
      <c r="T10" s="25">
        <v>846.91631887955009</v>
      </c>
      <c r="U10" s="25">
        <v>846.91631887955009</v>
      </c>
      <c r="V10" s="25">
        <v>846.91631887955009</v>
      </c>
      <c r="W10" s="25">
        <v>934.89347359964995</v>
      </c>
      <c r="X10" s="25">
        <v>934.89347359964995</v>
      </c>
      <c r="Y10" s="25">
        <v>934.89347359964995</v>
      </c>
    </row>
    <row r="11" spans="5:25">
      <c r="E11" s="39" t="s">
        <v>55</v>
      </c>
      <c r="F11" s="25">
        <v>817.48010562876993</v>
      </c>
      <c r="G11" s="25">
        <v>817.48010562876993</v>
      </c>
      <c r="H11" s="25">
        <v>817.48010562876993</v>
      </c>
      <c r="I11" s="25">
        <v>576.92739148662099</v>
      </c>
      <c r="J11" s="25">
        <v>576.92739148662099</v>
      </c>
      <c r="K11" s="25">
        <v>576.92739148662099</v>
      </c>
      <c r="L11" s="25">
        <v>235.50681846744897</v>
      </c>
      <c r="M11" s="25">
        <v>346.02306323954303</v>
      </c>
      <c r="N11" s="25">
        <v>296.98111865103499</v>
      </c>
      <c r="O11" s="25">
        <v>-0.37771423391399139</v>
      </c>
      <c r="P11" s="25">
        <v>-0.37771423391399139</v>
      </c>
      <c r="Q11" s="25">
        <v>-1.6946071611016578E-2</v>
      </c>
      <c r="R11" s="25">
        <v>162.131043311236</v>
      </c>
      <c r="S11" s="25">
        <v>500.69538487561294</v>
      </c>
      <c r="T11" s="25">
        <v>846.91631887955009</v>
      </c>
      <c r="U11" s="25">
        <v>846.91631887955009</v>
      </c>
      <c r="V11" s="25">
        <v>846.91631887955009</v>
      </c>
      <c r="W11" s="25">
        <v>934.89347359964995</v>
      </c>
      <c r="X11" s="25">
        <v>934.89347359964995</v>
      </c>
      <c r="Y11" s="25">
        <v>934.89347359964995</v>
      </c>
    </row>
    <row r="12" spans="5:25">
      <c r="E12" s="39" t="s">
        <v>56</v>
      </c>
      <c r="F12" s="25">
        <v>817.48010562876993</v>
      </c>
      <c r="G12" s="25">
        <v>817.48010562876993</v>
      </c>
      <c r="H12" s="25">
        <v>817.48010562876993</v>
      </c>
      <c r="I12" s="25">
        <v>576.92739148662099</v>
      </c>
      <c r="J12" s="25">
        <v>576.92739148662099</v>
      </c>
      <c r="K12" s="25">
        <v>576.92739148662099</v>
      </c>
      <c r="L12" s="25">
        <v>235.50681846744897</v>
      </c>
      <c r="M12" s="25">
        <v>346.02306323954303</v>
      </c>
      <c r="N12" s="25">
        <v>296.98111865103499</v>
      </c>
      <c r="O12" s="25">
        <v>-0.37771423391399139</v>
      </c>
      <c r="P12" s="25">
        <v>-0.37771423391399139</v>
      </c>
      <c r="Q12" s="25">
        <v>-1.6946071611016578E-2</v>
      </c>
      <c r="R12" s="25">
        <v>162.131043311236</v>
      </c>
      <c r="S12" s="25">
        <v>500.69538487561294</v>
      </c>
      <c r="T12" s="25">
        <v>846.91631887955009</v>
      </c>
      <c r="U12" s="25">
        <v>846.91631887955009</v>
      </c>
      <c r="V12" s="25">
        <v>846.91631887955009</v>
      </c>
      <c r="W12" s="25">
        <v>934.89347359964995</v>
      </c>
      <c r="X12" s="25">
        <v>934.89347359964995</v>
      </c>
      <c r="Y12" s="25">
        <v>934.89347359964995</v>
      </c>
    </row>
    <row r="13" spans="5:25">
      <c r="E13" s="39" t="s">
        <v>57</v>
      </c>
      <c r="F13" s="25">
        <v>817.48010562876993</v>
      </c>
      <c r="G13" s="25">
        <v>817.48010562876993</v>
      </c>
      <c r="H13" s="25">
        <v>817.48010562876993</v>
      </c>
      <c r="I13" s="25">
        <v>576.92739148662099</v>
      </c>
      <c r="J13" s="25">
        <v>576.92739148662099</v>
      </c>
      <c r="K13" s="25">
        <v>576.92739148662099</v>
      </c>
      <c r="L13" s="25">
        <v>235.50681846744897</v>
      </c>
      <c r="M13" s="25">
        <v>346.02306323954303</v>
      </c>
      <c r="N13" s="25">
        <v>296.98111865103499</v>
      </c>
      <c r="O13" s="25">
        <v>-0.37771423391399139</v>
      </c>
      <c r="P13" s="25">
        <v>-0.37771423391399139</v>
      </c>
      <c r="Q13" s="25">
        <v>-1.6946071611016578E-2</v>
      </c>
      <c r="R13" s="25">
        <v>162.131043311236</v>
      </c>
      <c r="S13" s="25">
        <v>500.69538487561294</v>
      </c>
      <c r="T13" s="25">
        <v>846.91631887955009</v>
      </c>
      <c r="U13" s="25">
        <v>846.91631887955009</v>
      </c>
      <c r="V13" s="25">
        <v>846.91631887955009</v>
      </c>
      <c r="W13" s="25">
        <v>934.89347359964995</v>
      </c>
      <c r="X13" s="25">
        <v>934.89347359964995</v>
      </c>
      <c r="Y13" s="25">
        <v>934.89347359964995</v>
      </c>
    </row>
    <row r="14" spans="5:25">
      <c r="E14" s="39" t="s">
        <v>58</v>
      </c>
      <c r="F14" s="25">
        <v>817.48010562876993</v>
      </c>
      <c r="G14" s="25">
        <v>817.48010562876993</v>
      </c>
      <c r="H14" s="25">
        <v>817.48010562876993</v>
      </c>
      <c r="I14" s="25">
        <v>576.92739148662099</v>
      </c>
      <c r="J14" s="25">
        <v>576.92739148662099</v>
      </c>
      <c r="K14" s="25">
        <v>576.92739148662099</v>
      </c>
      <c r="L14" s="25">
        <v>235.50681846744897</v>
      </c>
      <c r="M14" s="25">
        <v>346.02306323954303</v>
      </c>
      <c r="N14" s="25">
        <v>296.98111865103499</v>
      </c>
      <c r="O14" s="25">
        <v>-0.37771423391399139</v>
      </c>
      <c r="P14" s="25">
        <v>-0.37771423391399139</v>
      </c>
      <c r="Q14" s="25">
        <v>-1.6946071611016578E-2</v>
      </c>
      <c r="R14" s="25">
        <v>162.131043311236</v>
      </c>
      <c r="S14" s="25">
        <v>500.69538487561294</v>
      </c>
      <c r="T14" s="25">
        <v>846.91631887955009</v>
      </c>
      <c r="U14" s="25">
        <v>846.91631887955009</v>
      </c>
      <c r="V14" s="25">
        <v>846.91631887955009</v>
      </c>
      <c r="W14" s="25">
        <v>934.89347359964995</v>
      </c>
      <c r="X14" s="25">
        <v>934.89347359964995</v>
      </c>
      <c r="Y14" s="25">
        <v>934.89347359964995</v>
      </c>
    </row>
    <row r="15" spans="5:25">
      <c r="E15" s="39" t="s">
        <v>59</v>
      </c>
      <c r="F15" s="25">
        <v>817.48010562876993</v>
      </c>
      <c r="G15" s="25">
        <v>817.48010562876993</v>
      </c>
      <c r="H15" s="25">
        <v>817.48010562876993</v>
      </c>
      <c r="I15" s="25">
        <v>576.92739148662099</v>
      </c>
      <c r="J15" s="25">
        <v>576.92739148662099</v>
      </c>
      <c r="K15" s="25">
        <v>576.92739148662099</v>
      </c>
      <c r="L15" s="25">
        <v>235.50681846744897</v>
      </c>
      <c r="M15" s="25">
        <v>346.02306323954303</v>
      </c>
      <c r="N15" s="25">
        <v>296.98111865103499</v>
      </c>
      <c r="O15" s="25">
        <v>-0.37771423391399139</v>
      </c>
      <c r="P15" s="25">
        <v>-0.37771423391399139</v>
      </c>
      <c r="Q15" s="25">
        <v>-1.6946071611016578E-2</v>
      </c>
      <c r="R15" s="25">
        <v>162.131043311236</v>
      </c>
      <c r="S15" s="25">
        <v>500.69538487561294</v>
      </c>
      <c r="T15" s="25">
        <v>846.91631887955009</v>
      </c>
      <c r="U15" s="25">
        <v>846.91631887955009</v>
      </c>
      <c r="V15" s="25">
        <v>846.91631887955009</v>
      </c>
      <c r="W15" s="25">
        <v>934.89347359964995</v>
      </c>
      <c r="X15" s="25">
        <v>934.89347359964995</v>
      </c>
      <c r="Y15" s="25">
        <v>934.89347359964995</v>
      </c>
    </row>
    <row r="16" spans="5:25">
      <c r="E16" s="39" t="s">
        <v>60</v>
      </c>
      <c r="F16" s="25">
        <v>817.48010562876993</v>
      </c>
      <c r="G16" s="25">
        <v>817.48010562876993</v>
      </c>
      <c r="H16" s="25">
        <v>817.48010562876993</v>
      </c>
      <c r="I16" s="25">
        <v>576.92739148662099</v>
      </c>
      <c r="J16" s="25">
        <v>576.92739148662099</v>
      </c>
      <c r="K16" s="25">
        <v>576.92739148662099</v>
      </c>
      <c r="L16" s="25">
        <v>235.50681846744897</v>
      </c>
      <c r="M16" s="25">
        <v>346.02306323954303</v>
      </c>
      <c r="N16" s="25">
        <v>296.98111865103499</v>
      </c>
      <c r="O16" s="25">
        <v>-0.37771423391399139</v>
      </c>
      <c r="P16" s="25">
        <v>-0.37771423391399139</v>
      </c>
      <c r="Q16" s="25">
        <v>-1.6946071611016578E-2</v>
      </c>
      <c r="R16" s="25">
        <v>162.131043311236</v>
      </c>
      <c r="S16" s="25">
        <v>500.69538487561294</v>
      </c>
      <c r="T16" s="25">
        <v>846.91631887955009</v>
      </c>
      <c r="U16" s="25">
        <v>846.91631887955009</v>
      </c>
      <c r="V16" s="25">
        <v>846.91631887955009</v>
      </c>
      <c r="W16" s="25">
        <v>934.89347359964995</v>
      </c>
      <c r="X16" s="25">
        <v>934.89347359964995</v>
      </c>
      <c r="Y16" s="25">
        <v>934.89347359964995</v>
      </c>
    </row>
    <row r="17" spans="5:25">
      <c r="E17" s="39" t="s">
        <v>61</v>
      </c>
      <c r="F17" s="25">
        <v>817.48010562876993</v>
      </c>
      <c r="G17" s="25">
        <v>817.48010562876993</v>
      </c>
      <c r="H17" s="25">
        <v>817.48010562876993</v>
      </c>
      <c r="I17" s="25">
        <v>576.92739148662099</v>
      </c>
      <c r="J17" s="25">
        <v>576.92739148662099</v>
      </c>
      <c r="K17" s="25">
        <v>576.92739148662099</v>
      </c>
      <c r="L17" s="25">
        <v>235.50681846744897</v>
      </c>
      <c r="M17" s="25">
        <v>346.02306323954303</v>
      </c>
      <c r="N17" s="25">
        <v>296.98111865103499</v>
      </c>
      <c r="O17" s="25">
        <v>-0.37771423391399139</v>
      </c>
      <c r="P17" s="25">
        <v>-0.37771423391399139</v>
      </c>
      <c r="Q17" s="25">
        <v>-1.6946071611016578E-2</v>
      </c>
      <c r="R17" s="25">
        <v>162.131043311236</v>
      </c>
      <c r="S17" s="25">
        <v>500.69538487561294</v>
      </c>
      <c r="T17" s="25">
        <v>846.91631887955009</v>
      </c>
      <c r="U17" s="25">
        <v>846.91631887955009</v>
      </c>
      <c r="V17" s="25">
        <v>846.91631887955009</v>
      </c>
      <c r="W17" s="25">
        <v>934.89347359964995</v>
      </c>
      <c r="X17" s="25">
        <v>934.89347359964995</v>
      </c>
      <c r="Y17" s="25">
        <v>934.89347359964995</v>
      </c>
    </row>
    <row r="18" spans="5:25">
      <c r="E18" s="39" t="s">
        <v>62</v>
      </c>
      <c r="F18" s="25">
        <v>817.48010562876993</v>
      </c>
      <c r="G18" s="25">
        <v>817.48010562876993</v>
      </c>
      <c r="H18" s="25">
        <v>817.48010562876993</v>
      </c>
      <c r="I18" s="25">
        <v>576.92739148662099</v>
      </c>
      <c r="J18" s="25">
        <v>576.92739148662099</v>
      </c>
      <c r="K18" s="25">
        <v>576.92739148662099</v>
      </c>
      <c r="L18" s="25">
        <v>235.50681846744897</v>
      </c>
      <c r="M18" s="25">
        <v>346.02306323954303</v>
      </c>
      <c r="N18" s="25">
        <v>296.98111865103499</v>
      </c>
      <c r="O18" s="25">
        <v>-0.37771423391399139</v>
      </c>
      <c r="P18" s="25">
        <v>-0.37771423391399139</v>
      </c>
      <c r="Q18" s="25">
        <v>-1.6946071611016578E-2</v>
      </c>
      <c r="R18" s="25">
        <v>162.131043311236</v>
      </c>
      <c r="S18" s="25">
        <v>500.69538487561294</v>
      </c>
      <c r="T18" s="25">
        <v>846.91631887955009</v>
      </c>
      <c r="U18" s="25">
        <v>846.91631887955009</v>
      </c>
      <c r="V18" s="25">
        <v>846.91631887955009</v>
      </c>
      <c r="W18" s="25">
        <v>934.89347359964995</v>
      </c>
      <c r="X18" s="25">
        <v>934.89347359964995</v>
      </c>
      <c r="Y18" s="25">
        <v>934.89347359964995</v>
      </c>
    </row>
    <row r="19" spans="5:25">
      <c r="E19" s="39" t="s">
        <v>63</v>
      </c>
      <c r="F19" s="25">
        <v>817.48010562876993</v>
      </c>
      <c r="G19" s="25">
        <v>817.48010562876993</v>
      </c>
      <c r="H19" s="25">
        <v>817.48010562876993</v>
      </c>
      <c r="I19" s="25">
        <v>576.92739148662099</v>
      </c>
      <c r="J19" s="25">
        <v>576.92739148662099</v>
      </c>
      <c r="K19" s="25">
        <v>576.92739148662099</v>
      </c>
      <c r="L19" s="25">
        <v>235.50681846744897</v>
      </c>
      <c r="M19" s="25">
        <v>346.02306323954303</v>
      </c>
      <c r="N19" s="25">
        <v>296.98111865103499</v>
      </c>
      <c r="O19" s="25">
        <v>-0.37771423391399139</v>
      </c>
      <c r="P19" s="25">
        <v>-0.37771423391399139</v>
      </c>
      <c r="Q19" s="25">
        <v>-1.6946071611016578E-2</v>
      </c>
      <c r="R19" s="25">
        <v>162.131043311236</v>
      </c>
      <c r="S19" s="25">
        <v>500.69538487561294</v>
      </c>
      <c r="T19" s="25">
        <v>846.91631887955009</v>
      </c>
      <c r="U19" s="25">
        <v>846.91631887955009</v>
      </c>
      <c r="V19" s="25">
        <v>846.91631887955009</v>
      </c>
      <c r="W19" s="25">
        <v>934.89347359964995</v>
      </c>
      <c r="X19" s="25">
        <v>934.89347359964995</v>
      </c>
      <c r="Y19" s="25">
        <v>934.89347359964995</v>
      </c>
    </row>
    <row r="20" spans="5:25">
      <c r="E20" s="39" t="s">
        <v>64</v>
      </c>
      <c r="F20" s="25">
        <v>817.48010562876993</v>
      </c>
      <c r="G20" s="25">
        <v>817.48010562876993</v>
      </c>
      <c r="H20" s="25">
        <v>817.48010562876993</v>
      </c>
      <c r="I20" s="25">
        <v>576.92739148662099</v>
      </c>
      <c r="J20" s="25">
        <v>576.92739148662099</v>
      </c>
      <c r="K20" s="25">
        <v>576.92739148662099</v>
      </c>
      <c r="L20" s="25">
        <v>235.50681846744897</v>
      </c>
      <c r="M20" s="25">
        <v>346.02306323954303</v>
      </c>
      <c r="N20" s="25">
        <v>296.98111865103499</v>
      </c>
      <c r="O20" s="25">
        <v>-0.37771423391399139</v>
      </c>
      <c r="P20" s="25">
        <v>-0.37771423391399139</v>
      </c>
      <c r="Q20" s="25">
        <v>-1.6946071611016578E-2</v>
      </c>
      <c r="R20" s="25">
        <v>162.131043311236</v>
      </c>
      <c r="S20" s="25">
        <v>500.69538487561294</v>
      </c>
      <c r="T20" s="25">
        <v>846.91631887955009</v>
      </c>
      <c r="U20" s="25">
        <v>846.91631887955009</v>
      </c>
      <c r="V20" s="25">
        <v>846.91631887955009</v>
      </c>
      <c r="W20" s="25">
        <v>934.89347359964995</v>
      </c>
      <c r="X20" s="25">
        <v>934.89347359964995</v>
      </c>
      <c r="Y20" s="25">
        <v>934.89347359964995</v>
      </c>
    </row>
    <row r="21" spans="5:25">
      <c r="E21" s="39" t="s">
        <v>65</v>
      </c>
      <c r="F21" s="25">
        <v>817.48010562876993</v>
      </c>
      <c r="G21" s="25">
        <v>817.48010562876993</v>
      </c>
      <c r="H21" s="25">
        <v>817.48010562876993</v>
      </c>
      <c r="I21" s="25">
        <v>576.92739148662099</v>
      </c>
      <c r="J21" s="25">
        <v>576.92739148662099</v>
      </c>
      <c r="K21" s="25">
        <v>576.92739148662099</v>
      </c>
      <c r="L21" s="25">
        <v>235.50681846744897</v>
      </c>
      <c r="M21" s="25">
        <v>346.02306323954303</v>
      </c>
      <c r="N21" s="25">
        <v>296.98111865103499</v>
      </c>
      <c r="O21" s="25">
        <v>-0.37771423391399139</v>
      </c>
      <c r="P21" s="25">
        <v>-0.37771423391399139</v>
      </c>
      <c r="Q21" s="25">
        <v>-1.6946071611016578E-2</v>
      </c>
      <c r="R21" s="25">
        <v>162.131043311236</v>
      </c>
      <c r="S21" s="25">
        <v>500.69538487561294</v>
      </c>
      <c r="T21" s="25">
        <v>846.91631887955009</v>
      </c>
      <c r="U21" s="25">
        <v>846.91631887955009</v>
      </c>
      <c r="V21" s="25">
        <v>846.91631887955009</v>
      </c>
      <c r="W21" s="25">
        <v>934.89347359964995</v>
      </c>
      <c r="X21" s="25">
        <v>934.89347359964995</v>
      </c>
      <c r="Y21" s="25">
        <v>934.89347359964995</v>
      </c>
    </row>
    <row r="22" spans="5:25">
      <c r="E22" s="39" t="s">
        <v>20</v>
      </c>
      <c r="F22" s="25">
        <v>817.48010562876993</v>
      </c>
      <c r="G22" s="25">
        <v>817.48010562876993</v>
      </c>
      <c r="H22" s="25">
        <v>817.48010562876993</v>
      </c>
      <c r="I22" s="25">
        <v>576.92739148662099</v>
      </c>
      <c r="J22" s="25">
        <v>576.92739148662099</v>
      </c>
      <c r="K22" s="25">
        <v>576.92739148662099</v>
      </c>
      <c r="L22" s="25">
        <v>235.50681846744897</v>
      </c>
      <c r="M22" s="25">
        <v>346.02306323954303</v>
      </c>
      <c r="N22" s="25">
        <v>296.98111865103499</v>
      </c>
      <c r="O22" s="25">
        <v>-0.37771423391399139</v>
      </c>
      <c r="P22" s="25">
        <v>-0.37771423391399139</v>
      </c>
      <c r="Q22" s="25">
        <v>-1.6946071611016578E-2</v>
      </c>
      <c r="R22" s="25">
        <v>162.131043311236</v>
      </c>
      <c r="S22" s="25">
        <v>500.69538487561294</v>
      </c>
      <c r="T22" s="25">
        <v>846.91631887955009</v>
      </c>
      <c r="U22" s="25">
        <v>846.91631887955009</v>
      </c>
      <c r="V22" s="25">
        <v>846.91631887955009</v>
      </c>
      <c r="W22" s="25">
        <v>934.89347359964995</v>
      </c>
      <c r="X22" s="25">
        <v>934.89347359964995</v>
      </c>
      <c r="Y22" s="25">
        <v>934.89347359964995</v>
      </c>
    </row>
    <row r="23" spans="5:25">
      <c r="E23" s="39" t="s">
        <v>21</v>
      </c>
      <c r="F23" s="25">
        <v>817.48010562876993</v>
      </c>
      <c r="G23" s="25">
        <v>817.48010562876993</v>
      </c>
      <c r="H23" s="25">
        <v>817.48010562876993</v>
      </c>
      <c r="I23" s="25">
        <v>576.92739148662099</v>
      </c>
      <c r="J23" s="25">
        <v>576.92739148662099</v>
      </c>
      <c r="K23" s="25">
        <v>576.92739148662099</v>
      </c>
      <c r="L23" s="25">
        <v>235.50681846744897</v>
      </c>
      <c r="M23" s="25">
        <v>346.02306323954303</v>
      </c>
      <c r="N23" s="25">
        <v>296.98111865103499</v>
      </c>
      <c r="O23" s="25">
        <v>-0.37771423391399139</v>
      </c>
      <c r="P23" s="25">
        <v>-0.37771423391399139</v>
      </c>
      <c r="Q23" s="25">
        <v>-1.6946071611016578E-2</v>
      </c>
      <c r="R23" s="25">
        <v>162.131043311236</v>
      </c>
      <c r="S23" s="25">
        <v>500.69538487561294</v>
      </c>
      <c r="T23" s="25">
        <v>846.91631887955009</v>
      </c>
      <c r="U23" s="25">
        <v>846.91631887955009</v>
      </c>
      <c r="V23" s="25">
        <v>846.91631887955009</v>
      </c>
      <c r="W23" s="25">
        <v>934.89347359964995</v>
      </c>
      <c r="X23" s="25">
        <v>934.89347359964995</v>
      </c>
      <c r="Y23" s="25">
        <v>934.89347359964995</v>
      </c>
    </row>
    <row r="24" spans="5:25">
      <c r="E24" s="39" t="s">
        <v>22</v>
      </c>
      <c r="F24" s="25">
        <v>817.48010562876993</v>
      </c>
      <c r="G24" s="25">
        <v>817.48010562876993</v>
      </c>
      <c r="H24" s="25">
        <v>817.48010562876993</v>
      </c>
      <c r="I24" s="25">
        <v>576.92739148662099</v>
      </c>
      <c r="J24" s="25">
        <v>576.92739148662099</v>
      </c>
      <c r="K24" s="25">
        <v>576.92739148662099</v>
      </c>
      <c r="L24" s="25">
        <v>235.50681846744897</v>
      </c>
      <c r="M24" s="25">
        <v>346.02306323954303</v>
      </c>
      <c r="N24" s="25">
        <v>296.98111865103499</v>
      </c>
      <c r="O24" s="25">
        <v>-0.37771423391399139</v>
      </c>
      <c r="P24" s="25">
        <v>-0.37771423391399139</v>
      </c>
      <c r="Q24" s="25">
        <v>-1.6946071611016578E-2</v>
      </c>
      <c r="R24" s="25">
        <v>162.131043311236</v>
      </c>
      <c r="S24" s="25">
        <v>500.69538487561294</v>
      </c>
      <c r="T24" s="25">
        <v>846.91631887955009</v>
      </c>
      <c r="U24" s="25">
        <v>846.91631887955009</v>
      </c>
      <c r="V24" s="25">
        <v>846.91631887955009</v>
      </c>
      <c r="W24" s="25">
        <v>934.89347359964995</v>
      </c>
      <c r="X24" s="25">
        <v>934.89347359964995</v>
      </c>
      <c r="Y24" s="25">
        <v>934.89347359964995</v>
      </c>
    </row>
    <row r="25" spans="5:25">
      <c r="E25" s="39" t="s">
        <v>23</v>
      </c>
      <c r="F25" s="25">
        <v>817.48010562876993</v>
      </c>
      <c r="G25" s="25">
        <v>817.48010562876993</v>
      </c>
      <c r="H25" s="25">
        <v>817.48010562876993</v>
      </c>
      <c r="I25" s="25">
        <v>576.92739148662099</v>
      </c>
      <c r="J25" s="25">
        <v>576.92739148662099</v>
      </c>
      <c r="K25" s="25">
        <v>576.92739148662099</v>
      </c>
      <c r="L25" s="25">
        <v>235.50681846744897</v>
      </c>
      <c r="M25" s="25">
        <v>346.02306323954303</v>
      </c>
      <c r="N25" s="25">
        <v>296.98111865103499</v>
      </c>
      <c r="O25" s="25">
        <v>-0.37771423391399139</v>
      </c>
      <c r="P25" s="25">
        <v>-0.37771423391399139</v>
      </c>
      <c r="Q25" s="25">
        <v>-1.6946071611016578E-2</v>
      </c>
      <c r="R25" s="25">
        <v>162.131043311236</v>
      </c>
      <c r="S25" s="25">
        <v>500.69538487561294</v>
      </c>
      <c r="T25" s="25">
        <v>846.91631887955009</v>
      </c>
      <c r="U25" s="25">
        <v>846.91631887955009</v>
      </c>
      <c r="V25" s="25">
        <v>846.91631887955009</v>
      </c>
      <c r="W25" s="25">
        <v>934.89347359964995</v>
      </c>
      <c r="X25" s="25">
        <v>934.89347359964995</v>
      </c>
      <c r="Y25" s="25">
        <v>934.89347359964995</v>
      </c>
    </row>
    <row r="26" spans="5:25">
      <c r="E26" s="39" t="s">
        <v>24</v>
      </c>
      <c r="F26" s="25">
        <v>817.48010562876993</v>
      </c>
      <c r="G26" s="25">
        <v>817.48010562876993</v>
      </c>
      <c r="H26" s="25">
        <v>817.48010562876993</v>
      </c>
      <c r="I26" s="25">
        <v>576.92739148662099</v>
      </c>
      <c r="J26" s="25">
        <v>576.92739148662099</v>
      </c>
      <c r="K26" s="25">
        <v>576.92739148662099</v>
      </c>
      <c r="L26" s="25">
        <v>235.50681846744897</v>
      </c>
      <c r="M26" s="25">
        <v>346.02306323954303</v>
      </c>
      <c r="N26" s="25">
        <v>296.98111865103499</v>
      </c>
      <c r="O26" s="25">
        <v>-0.37771423391399139</v>
      </c>
      <c r="P26" s="25">
        <v>-0.37771423391399139</v>
      </c>
      <c r="Q26" s="25">
        <v>-1.6946071611016578E-2</v>
      </c>
      <c r="R26" s="25">
        <v>162.131043311236</v>
      </c>
      <c r="S26" s="25">
        <v>500.69538487561294</v>
      </c>
      <c r="T26" s="25">
        <v>846.91631887955009</v>
      </c>
      <c r="U26" s="25">
        <v>846.91631887955009</v>
      </c>
      <c r="V26" s="25">
        <v>846.91631887955009</v>
      </c>
      <c r="W26" s="25">
        <v>934.89347359964995</v>
      </c>
      <c r="X26" s="25">
        <v>934.89347359964995</v>
      </c>
      <c r="Y26" s="25">
        <v>934.89347359964995</v>
      </c>
    </row>
    <row r="27" spans="5:25">
      <c r="E27" s="39" t="s">
        <v>25</v>
      </c>
      <c r="F27" s="25">
        <v>817.48010562876993</v>
      </c>
      <c r="G27" s="25">
        <v>817.48010562876993</v>
      </c>
      <c r="H27" s="25">
        <v>817.48010562876993</v>
      </c>
      <c r="I27" s="25">
        <v>576.92739148662099</v>
      </c>
      <c r="J27" s="25">
        <v>576.92739148662099</v>
      </c>
      <c r="K27" s="25">
        <v>576.92739148662099</v>
      </c>
      <c r="L27" s="25">
        <v>235.50681846744897</v>
      </c>
      <c r="M27" s="25">
        <v>346.02306323954303</v>
      </c>
      <c r="N27" s="25">
        <v>296.98111865103499</v>
      </c>
      <c r="O27" s="25">
        <v>-0.37771423391399139</v>
      </c>
      <c r="P27" s="25">
        <v>-0.37771423391399139</v>
      </c>
      <c r="Q27" s="25">
        <v>-1.6946071611016578E-2</v>
      </c>
      <c r="R27" s="25">
        <v>162.131043311236</v>
      </c>
      <c r="S27" s="25">
        <v>500.69538487561294</v>
      </c>
      <c r="T27" s="25">
        <v>846.91631887955009</v>
      </c>
      <c r="U27" s="25">
        <v>846.91631887955009</v>
      </c>
      <c r="V27" s="25">
        <v>846.91631887955009</v>
      </c>
      <c r="W27" s="25">
        <v>934.89347359964995</v>
      </c>
      <c r="X27" s="25">
        <v>934.89347359964995</v>
      </c>
      <c r="Y27" s="25">
        <v>934.89347359964995</v>
      </c>
    </row>
    <row r="28" spans="5:25">
      <c r="E28" s="39" t="s">
        <v>26</v>
      </c>
      <c r="F28" s="25">
        <v>817.48010562876993</v>
      </c>
      <c r="G28" s="25">
        <v>817.48010562876993</v>
      </c>
      <c r="H28" s="25">
        <v>817.48010562876993</v>
      </c>
      <c r="I28" s="25">
        <v>576.92739148662099</v>
      </c>
      <c r="J28" s="25">
        <v>576.92739148662099</v>
      </c>
      <c r="K28" s="25">
        <v>576.92739148662099</v>
      </c>
      <c r="L28" s="25">
        <v>235.50681846744897</v>
      </c>
      <c r="M28" s="25">
        <v>346.02306323954303</v>
      </c>
      <c r="N28" s="25">
        <v>296.98111865103499</v>
      </c>
      <c r="O28" s="25">
        <v>-0.37771423391399139</v>
      </c>
      <c r="P28" s="25">
        <v>-0.37771423391399139</v>
      </c>
      <c r="Q28" s="25">
        <v>-1.6946071611016578E-2</v>
      </c>
      <c r="R28" s="25">
        <v>162.131043311236</v>
      </c>
      <c r="S28" s="25">
        <v>500.69538487561294</v>
      </c>
      <c r="T28" s="25">
        <v>846.91631887955009</v>
      </c>
      <c r="U28" s="25">
        <v>846.91631887955009</v>
      </c>
      <c r="V28" s="25">
        <v>846.91631887955009</v>
      </c>
      <c r="W28" s="25">
        <v>934.89347359964995</v>
      </c>
      <c r="X28" s="25">
        <v>934.89347359964995</v>
      </c>
      <c r="Y28" s="25">
        <v>934.89347359964995</v>
      </c>
    </row>
    <row r="29" spans="5:25">
      <c r="E29" s="39" t="s">
        <v>27</v>
      </c>
      <c r="F29" s="25">
        <v>817.48010562876993</v>
      </c>
      <c r="G29" s="25">
        <v>817.48010562876993</v>
      </c>
      <c r="H29" s="25">
        <v>817.48010562876993</v>
      </c>
      <c r="I29" s="25">
        <v>576.92739148662099</v>
      </c>
      <c r="J29" s="25">
        <v>576.92739148662099</v>
      </c>
      <c r="K29" s="25">
        <v>576.92739148662099</v>
      </c>
      <c r="L29" s="25">
        <v>235.50681846744897</v>
      </c>
      <c r="M29" s="25">
        <v>346.02306323954303</v>
      </c>
      <c r="N29" s="25">
        <v>296.98111865103499</v>
      </c>
      <c r="O29" s="25">
        <v>-0.37771423391399139</v>
      </c>
      <c r="P29" s="25">
        <v>-0.37771423391399139</v>
      </c>
      <c r="Q29" s="25">
        <v>-1.6946071611016578E-2</v>
      </c>
      <c r="R29" s="25">
        <v>162.131043311236</v>
      </c>
      <c r="S29" s="25">
        <v>500.69538487561294</v>
      </c>
      <c r="T29" s="25">
        <v>846.91631887955009</v>
      </c>
      <c r="U29" s="25">
        <v>846.91631887955009</v>
      </c>
      <c r="V29" s="25">
        <v>846.91631887955009</v>
      </c>
      <c r="W29" s="25">
        <v>934.89347359964995</v>
      </c>
      <c r="X29" s="25">
        <v>934.89347359964995</v>
      </c>
      <c r="Y29" s="25">
        <v>934.89347359964995</v>
      </c>
    </row>
    <row r="30" spans="5:25">
      <c r="E30" s="39" t="s">
        <v>28</v>
      </c>
      <c r="F30" s="25">
        <v>817.48010562876993</v>
      </c>
      <c r="G30" s="25">
        <v>817.48010562876993</v>
      </c>
      <c r="H30" s="25">
        <v>817.48010562876993</v>
      </c>
      <c r="I30" s="25">
        <v>576.92739148662099</v>
      </c>
      <c r="J30" s="25">
        <v>576.92739148662099</v>
      </c>
      <c r="K30" s="25">
        <v>576.92739148662099</v>
      </c>
      <c r="L30" s="25">
        <v>235.50681846744897</v>
      </c>
      <c r="M30" s="25">
        <v>346.02306323954303</v>
      </c>
      <c r="N30" s="25">
        <v>296.98111865103499</v>
      </c>
      <c r="O30" s="25">
        <v>-0.37771423391399139</v>
      </c>
      <c r="P30" s="25">
        <v>-0.37771423391399139</v>
      </c>
      <c r="Q30" s="25">
        <v>-1.6946071611016578E-2</v>
      </c>
      <c r="R30" s="25">
        <v>162.131043311236</v>
      </c>
      <c r="S30" s="25">
        <v>500.69538487561294</v>
      </c>
      <c r="T30" s="25">
        <v>846.91631887955009</v>
      </c>
      <c r="U30" s="25">
        <v>846.91631887955009</v>
      </c>
      <c r="V30" s="25">
        <v>846.91631887955009</v>
      </c>
      <c r="W30" s="25">
        <v>934.89347359964995</v>
      </c>
      <c r="X30" s="25">
        <v>934.89347359964995</v>
      </c>
      <c r="Y30" s="25">
        <v>934.89347359964995</v>
      </c>
    </row>
    <row r="31" spans="5:25">
      <c r="E31" s="39" t="s">
        <v>29</v>
      </c>
      <c r="F31" s="25">
        <v>817.48010562876993</v>
      </c>
      <c r="G31" s="25">
        <v>817.48010562876993</v>
      </c>
      <c r="H31" s="25">
        <v>817.48010562876993</v>
      </c>
      <c r="I31" s="25">
        <v>576.92739148662099</v>
      </c>
      <c r="J31" s="25">
        <v>576.92739148662099</v>
      </c>
      <c r="K31" s="25">
        <v>576.92739148662099</v>
      </c>
      <c r="L31" s="25">
        <v>235.50681846744897</v>
      </c>
      <c r="M31" s="25">
        <v>346.02306323954303</v>
      </c>
      <c r="N31" s="25">
        <v>296.98111865103499</v>
      </c>
      <c r="O31" s="25">
        <v>-0.37771423391399139</v>
      </c>
      <c r="P31" s="25">
        <v>-0.37771423391399139</v>
      </c>
      <c r="Q31" s="25">
        <v>-1.6946071611016578E-2</v>
      </c>
      <c r="R31" s="25">
        <v>162.131043311236</v>
      </c>
      <c r="S31" s="25">
        <v>500.69538487561294</v>
      </c>
      <c r="T31" s="25">
        <v>846.91631887955009</v>
      </c>
      <c r="U31" s="25">
        <v>846.91631887955009</v>
      </c>
      <c r="V31" s="25">
        <v>846.91631887955009</v>
      </c>
      <c r="W31" s="25">
        <v>934.89347359964995</v>
      </c>
      <c r="X31" s="25">
        <v>934.89347359964995</v>
      </c>
      <c r="Y31" s="25">
        <v>934.89347359964995</v>
      </c>
    </row>
    <row r="32" spans="5:25">
      <c r="E32" s="39" t="s">
        <v>30</v>
      </c>
      <c r="F32" s="25">
        <v>817.48010562876993</v>
      </c>
      <c r="G32" s="25">
        <v>817.48010562876993</v>
      </c>
      <c r="H32" s="25">
        <v>817.48010562876993</v>
      </c>
      <c r="I32" s="25">
        <v>576.92739148662099</v>
      </c>
      <c r="J32" s="25">
        <v>576.92739148662099</v>
      </c>
      <c r="K32" s="25">
        <v>576.92739148662099</v>
      </c>
      <c r="L32" s="25">
        <v>235.50681846744897</v>
      </c>
      <c r="M32" s="25">
        <v>346.02306323954303</v>
      </c>
      <c r="N32" s="25">
        <v>296.98111865103499</v>
      </c>
      <c r="O32" s="25">
        <v>-0.37771423391399139</v>
      </c>
      <c r="P32" s="25">
        <v>-0.37771423391399139</v>
      </c>
      <c r="Q32" s="25">
        <v>-1.6946071611016578E-2</v>
      </c>
      <c r="R32" s="25">
        <v>162.131043311236</v>
      </c>
      <c r="S32" s="25">
        <v>500.69538487561294</v>
      </c>
      <c r="T32" s="25">
        <v>846.91631887955009</v>
      </c>
      <c r="U32" s="25">
        <v>846.91631887955009</v>
      </c>
      <c r="V32" s="25">
        <v>846.91631887955009</v>
      </c>
      <c r="W32" s="25">
        <v>934.89347359964995</v>
      </c>
      <c r="X32" s="25">
        <v>934.89347359964995</v>
      </c>
      <c r="Y32" s="25">
        <v>934.89347359964995</v>
      </c>
    </row>
    <row r="33" spans="5:25">
      <c r="E33" s="39" t="s">
        <v>31</v>
      </c>
      <c r="F33" s="25">
        <v>817.48010562876993</v>
      </c>
      <c r="G33" s="25">
        <v>817.48010562876993</v>
      </c>
      <c r="H33" s="25">
        <v>817.48010562876993</v>
      </c>
      <c r="I33" s="25">
        <v>576.92739148662099</v>
      </c>
      <c r="J33" s="25">
        <v>576.92739148662099</v>
      </c>
      <c r="K33" s="25">
        <v>576.92739148662099</v>
      </c>
      <c r="L33" s="25">
        <v>235.50681846744897</v>
      </c>
      <c r="M33" s="25">
        <v>346.02306323954303</v>
      </c>
      <c r="N33" s="25">
        <v>296.98111865103499</v>
      </c>
      <c r="O33" s="25">
        <v>-0.37771423391399139</v>
      </c>
      <c r="P33" s="25">
        <v>-0.37771423391399139</v>
      </c>
      <c r="Q33" s="25">
        <v>-1.6946071611016578E-2</v>
      </c>
      <c r="R33" s="25">
        <v>162.131043311236</v>
      </c>
      <c r="S33" s="25">
        <v>500.69538487561294</v>
      </c>
      <c r="T33" s="25">
        <v>846.91631887955009</v>
      </c>
      <c r="U33" s="25">
        <v>846.91631887955009</v>
      </c>
      <c r="V33" s="25">
        <v>846.91631887955009</v>
      </c>
      <c r="W33" s="25">
        <v>934.89347359964995</v>
      </c>
      <c r="X33" s="25">
        <v>934.89347359964995</v>
      </c>
      <c r="Y33" s="25">
        <v>934.89347359964995</v>
      </c>
    </row>
    <row r="34" spans="5:25">
      <c r="E34" s="39" t="s">
        <v>32</v>
      </c>
      <c r="F34" s="25">
        <v>817.48010562876993</v>
      </c>
      <c r="G34" s="25">
        <v>817.48010562876993</v>
      </c>
      <c r="H34" s="25">
        <v>817.48010562876993</v>
      </c>
      <c r="I34" s="25">
        <v>576.92739148662099</v>
      </c>
      <c r="J34" s="25">
        <v>576.92739148662099</v>
      </c>
      <c r="K34" s="25">
        <v>576.92739148662099</v>
      </c>
      <c r="L34" s="25">
        <v>235.50681846744897</v>
      </c>
      <c r="M34" s="25">
        <v>346.02306323954303</v>
      </c>
      <c r="N34" s="25">
        <v>296.98111865103499</v>
      </c>
      <c r="O34" s="25">
        <v>-0.37771423391399139</v>
      </c>
      <c r="P34" s="25">
        <v>-0.37771423391399139</v>
      </c>
      <c r="Q34" s="25">
        <v>-1.6946071611016578E-2</v>
      </c>
      <c r="R34" s="25">
        <v>162.131043311236</v>
      </c>
      <c r="S34" s="25">
        <v>500.69538487561294</v>
      </c>
      <c r="T34" s="25">
        <v>846.91631887955009</v>
      </c>
      <c r="U34" s="25">
        <v>846.91631887955009</v>
      </c>
      <c r="V34" s="25">
        <v>846.91631887955009</v>
      </c>
      <c r="W34" s="25">
        <v>934.89347359964995</v>
      </c>
      <c r="X34" s="25">
        <v>934.89347359964995</v>
      </c>
      <c r="Y34" s="25">
        <v>934.89347359964995</v>
      </c>
    </row>
    <row r="35" spans="5:25">
      <c r="E35" s="39" t="s">
        <v>33</v>
      </c>
      <c r="F35" s="25">
        <v>817.48010562876993</v>
      </c>
      <c r="G35" s="25">
        <v>817.48010562876993</v>
      </c>
      <c r="H35" s="25">
        <v>817.48010562876993</v>
      </c>
      <c r="I35" s="25">
        <v>576.92739148662099</v>
      </c>
      <c r="J35" s="25">
        <v>576.92739148662099</v>
      </c>
      <c r="K35" s="25">
        <v>576.92739148662099</v>
      </c>
      <c r="L35" s="25">
        <v>235.50681846744897</v>
      </c>
      <c r="M35" s="25">
        <v>346.02306323954303</v>
      </c>
      <c r="N35" s="25">
        <v>296.98111865103499</v>
      </c>
      <c r="O35" s="25">
        <v>-0.37771423391399139</v>
      </c>
      <c r="P35" s="25">
        <v>-0.37771423391399139</v>
      </c>
      <c r="Q35" s="25">
        <v>-1.6946071611016578E-2</v>
      </c>
      <c r="R35" s="25">
        <v>162.131043311236</v>
      </c>
      <c r="S35" s="25">
        <v>500.69538487561294</v>
      </c>
      <c r="T35" s="25">
        <v>846.91631887955009</v>
      </c>
      <c r="U35" s="25">
        <v>846.91631887955009</v>
      </c>
      <c r="V35" s="25">
        <v>846.91631887955009</v>
      </c>
      <c r="W35" s="25">
        <v>934.89347359964995</v>
      </c>
      <c r="X35" s="25">
        <v>934.89347359964995</v>
      </c>
      <c r="Y35" s="25">
        <v>934.89347359964995</v>
      </c>
    </row>
    <row r="36" spans="5:25">
      <c r="E36" s="39" t="s">
        <v>34</v>
      </c>
      <c r="F36" s="25">
        <v>817.48010562876993</v>
      </c>
      <c r="G36" s="25">
        <v>817.48010562876993</v>
      </c>
      <c r="H36" s="25">
        <v>817.48010562876993</v>
      </c>
      <c r="I36" s="25">
        <v>576.92739148662099</v>
      </c>
      <c r="J36" s="25">
        <v>576.92739148662099</v>
      </c>
      <c r="K36" s="25">
        <v>576.92739148662099</v>
      </c>
      <c r="L36" s="25">
        <v>235.50681846744897</v>
      </c>
      <c r="M36" s="25">
        <v>346.02306323954303</v>
      </c>
      <c r="N36" s="25">
        <v>296.98111865103499</v>
      </c>
      <c r="O36" s="25">
        <v>-0.37771423391399139</v>
      </c>
      <c r="P36" s="25">
        <v>-0.37771423391399139</v>
      </c>
      <c r="Q36" s="25">
        <v>-1.6946071611016578E-2</v>
      </c>
      <c r="R36" s="25">
        <v>162.131043311236</v>
      </c>
      <c r="S36" s="25">
        <v>500.69538487561294</v>
      </c>
      <c r="T36" s="25">
        <v>846.91631887955009</v>
      </c>
      <c r="U36" s="25">
        <v>846.91631887955009</v>
      </c>
      <c r="V36" s="25">
        <v>846.91631887955009</v>
      </c>
      <c r="W36" s="25">
        <v>934.89347359964995</v>
      </c>
      <c r="X36" s="25">
        <v>934.89347359964995</v>
      </c>
      <c r="Y36" s="25">
        <v>934.89347359964995</v>
      </c>
    </row>
    <row r="37" spans="5:25">
      <c r="E37" s="39" t="s">
        <v>35</v>
      </c>
      <c r="F37" s="25">
        <v>817.48010562876993</v>
      </c>
      <c r="G37" s="25">
        <v>817.48010562876993</v>
      </c>
      <c r="H37" s="25">
        <v>817.48010562876993</v>
      </c>
      <c r="I37" s="25">
        <v>576.92739148662099</v>
      </c>
      <c r="J37" s="25">
        <v>576.92739148662099</v>
      </c>
      <c r="K37" s="25">
        <v>576.92739148662099</v>
      </c>
      <c r="L37" s="25">
        <v>235.50681846744897</v>
      </c>
      <c r="M37" s="25">
        <v>346.02306323954303</v>
      </c>
      <c r="N37" s="25">
        <v>296.98111865103499</v>
      </c>
      <c r="O37" s="25">
        <v>-0.37771423391399139</v>
      </c>
      <c r="P37" s="25">
        <v>-0.37771423391399139</v>
      </c>
      <c r="Q37" s="25">
        <v>-1.6946071611016578E-2</v>
      </c>
      <c r="R37" s="25">
        <v>162.131043311236</v>
      </c>
      <c r="S37" s="25">
        <v>500.69538487561294</v>
      </c>
      <c r="T37" s="25">
        <v>846.91631887955009</v>
      </c>
      <c r="U37" s="25">
        <v>846.91631887955009</v>
      </c>
      <c r="V37" s="25">
        <v>846.91631887955009</v>
      </c>
      <c r="W37" s="25">
        <v>934.89347359964995</v>
      </c>
      <c r="X37" s="25">
        <v>934.89347359964995</v>
      </c>
      <c r="Y37" s="25">
        <v>934.89347359964995</v>
      </c>
    </row>
    <row r="38" spans="5:25">
      <c r="E38" s="39" t="s">
        <v>36</v>
      </c>
      <c r="F38" s="25">
        <v>817.48010562876993</v>
      </c>
      <c r="G38" s="25">
        <v>817.48010562876993</v>
      </c>
      <c r="H38" s="25">
        <v>817.48010562876993</v>
      </c>
      <c r="I38" s="25">
        <v>576.92739148662099</v>
      </c>
      <c r="J38" s="25">
        <v>576.92739148662099</v>
      </c>
      <c r="K38" s="25">
        <v>576.92739148662099</v>
      </c>
      <c r="L38" s="25">
        <v>235.50681846744897</v>
      </c>
      <c r="M38" s="25">
        <v>346.02306323954303</v>
      </c>
      <c r="N38" s="25">
        <v>296.98111865103499</v>
      </c>
      <c r="O38" s="25">
        <v>-0.37771423391399139</v>
      </c>
      <c r="P38" s="25">
        <v>-0.37771423391399139</v>
      </c>
      <c r="Q38" s="25">
        <v>-1.6946071611016578E-2</v>
      </c>
      <c r="R38" s="25">
        <v>162.131043311236</v>
      </c>
      <c r="S38" s="25">
        <v>500.69538487561294</v>
      </c>
      <c r="T38" s="25">
        <v>846.91631887955009</v>
      </c>
      <c r="U38" s="25">
        <v>846.91631887955009</v>
      </c>
      <c r="V38" s="25">
        <v>846.91631887955009</v>
      </c>
      <c r="W38" s="25">
        <v>934.89347359964995</v>
      </c>
      <c r="X38" s="25">
        <v>934.89347359964995</v>
      </c>
      <c r="Y38" s="25">
        <v>934.89347359964995</v>
      </c>
    </row>
    <row r="39" spans="5:25">
      <c r="E39" s="39" t="s">
        <v>37</v>
      </c>
      <c r="F39" s="25">
        <v>817.48010562876993</v>
      </c>
      <c r="G39" s="25">
        <v>817.48010562876993</v>
      </c>
      <c r="H39" s="25">
        <v>817.48010562876993</v>
      </c>
      <c r="I39" s="25">
        <v>576.92739148662099</v>
      </c>
      <c r="J39" s="25">
        <v>576.92739148662099</v>
      </c>
      <c r="K39" s="25">
        <v>576.92739148662099</v>
      </c>
      <c r="L39" s="25">
        <v>235.50681846744897</v>
      </c>
      <c r="M39" s="25">
        <v>346.02306323954303</v>
      </c>
      <c r="N39" s="25">
        <v>296.98111865103499</v>
      </c>
      <c r="O39" s="25">
        <v>-0.37771423391399139</v>
      </c>
      <c r="P39" s="25">
        <v>-0.37771423391399139</v>
      </c>
      <c r="Q39" s="25">
        <v>-1.6946071611016578E-2</v>
      </c>
      <c r="R39" s="25">
        <v>162.131043311236</v>
      </c>
      <c r="S39" s="25">
        <v>500.69538487561294</v>
      </c>
      <c r="T39" s="25">
        <v>846.91631887955009</v>
      </c>
      <c r="U39" s="25">
        <v>846.91631887955009</v>
      </c>
      <c r="V39" s="25">
        <v>846.91631887955009</v>
      </c>
      <c r="W39" s="25">
        <v>934.89347359964995</v>
      </c>
      <c r="X39" s="25">
        <v>934.89347359964995</v>
      </c>
      <c r="Y39" s="25">
        <v>934.89347359964995</v>
      </c>
    </row>
    <row r="40" spans="5:25">
      <c r="E40" s="39" t="s">
        <v>38</v>
      </c>
      <c r="F40" s="25">
        <v>817.48010562876993</v>
      </c>
      <c r="G40" s="25">
        <v>817.48010562876993</v>
      </c>
      <c r="H40" s="25">
        <v>817.48010562876993</v>
      </c>
      <c r="I40" s="25">
        <v>576.92739148662099</v>
      </c>
      <c r="J40" s="25">
        <v>576.92739148662099</v>
      </c>
      <c r="K40" s="25">
        <v>576.92739148662099</v>
      </c>
      <c r="L40" s="25">
        <v>235.50681846744897</v>
      </c>
      <c r="M40" s="25">
        <v>346.02306323954303</v>
      </c>
      <c r="N40" s="25">
        <v>296.98111865103499</v>
      </c>
      <c r="O40" s="25">
        <v>-0.37771423391399139</v>
      </c>
      <c r="P40" s="25">
        <v>-0.37771423391399139</v>
      </c>
      <c r="Q40" s="25">
        <v>-1.6946071611016578E-2</v>
      </c>
      <c r="R40" s="25">
        <v>162.131043311236</v>
      </c>
      <c r="S40" s="25">
        <v>500.69538487561294</v>
      </c>
      <c r="T40" s="25">
        <v>846.91631887955009</v>
      </c>
      <c r="U40" s="25">
        <v>846.91631887955009</v>
      </c>
      <c r="V40" s="25">
        <v>846.91631887955009</v>
      </c>
      <c r="W40" s="25">
        <v>934.89347359964995</v>
      </c>
      <c r="X40" s="25">
        <v>934.89347359964995</v>
      </c>
      <c r="Y40" s="25">
        <v>934.89347359964995</v>
      </c>
    </row>
    <row r="41" spans="5:25">
      <c r="E41" s="39" t="s">
        <v>39</v>
      </c>
      <c r="F41" s="25">
        <v>817.48010562876993</v>
      </c>
      <c r="G41" s="25">
        <v>817.48010562876993</v>
      </c>
      <c r="H41" s="25">
        <v>817.48010562876993</v>
      </c>
      <c r="I41" s="25">
        <v>576.92739148662099</v>
      </c>
      <c r="J41" s="25">
        <v>576.92739148662099</v>
      </c>
      <c r="K41" s="25">
        <v>576.92739148662099</v>
      </c>
      <c r="L41" s="25">
        <v>235.50681846744897</v>
      </c>
      <c r="M41" s="25">
        <v>346.02306323954303</v>
      </c>
      <c r="N41" s="25">
        <v>296.98111865103499</v>
      </c>
      <c r="O41" s="25">
        <v>-0.37771423391399139</v>
      </c>
      <c r="P41" s="25">
        <v>-0.37771423391399139</v>
      </c>
      <c r="Q41" s="25">
        <v>-1.6946071611016578E-2</v>
      </c>
      <c r="R41" s="25">
        <v>162.131043311236</v>
      </c>
      <c r="S41" s="25">
        <v>500.69538487561294</v>
      </c>
      <c r="T41" s="25">
        <v>846.91631887955009</v>
      </c>
      <c r="U41" s="25">
        <v>846.91631887955009</v>
      </c>
      <c r="V41" s="25">
        <v>846.91631887955009</v>
      </c>
      <c r="W41" s="25">
        <v>934.89347359964995</v>
      </c>
      <c r="X41" s="25">
        <v>934.89347359964995</v>
      </c>
      <c r="Y41" s="25">
        <v>934.89347359964995</v>
      </c>
    </row>
    <row r="42" spans="5:25">
      <c r="E42" s="39" t="s">
        <v>40</v>
      </c>
      <c r="F42" s="25">
        <v>817.48010562876993</v>
      </c>
      <c r="G42" s="25">
        <v>817.48010562876993</v>
      </c>
      <c r="H42" s="25">
        <v>817.48010562876993</v>
      </c>
      <c r="I42" s="25">
        <v>576.92739148662099</v>
      </c>
      <c r="J42" s="25">
        <v>576.92739148662099</v>
      </c>
      <c r="K42" s="25">
        <v>576.92739148662099</v>
      </c>
      <c r="L42" s="25">
        <v>235.50681846744897</v>
      </c>
      <c r="M42" s="25">
        <v>346.02306323954303</v>
      </c>
      <c r="N42" s="25">
        <v>296.98111865103499</v>
      </c>
      <c r="O42" s="25">
        <v>-0.37771423391399139</v>
      </c>
      <c r="P42" s="25">
        <v>-0.37771423391399139</v>
      </c>
      <c r="Q42" s="25">
        <v>-1.6946071611016578E-2</v>
      </c>
      <c r="R42" s="25">
        <v>162.131043311236</v>
      </c>
      <c r="S42" s="25">
        <v>500.69538487561294</v>
      </c>
      <c r="T42" s="25">
        <v>846.91631887955009</v>
      </c>
      <c r="U42" s="25">
        <v>846.91631887955009</v>
      </c>
      <c r="V42" s="25">
        <v>846.91631887955009</v>
      </c>
      <c r="W42" s="25">
        <v>934.89347359964995</v>
      </c>
      <c r="X42" s="25">
        <v>934.89347359964995</v>
      </c>
      <c r="Y42" s="25">
        <v>934.89347359964995</v>
      </c>
    </row>
    <row r="43" spans="5:25">
      <c r="E43" s="39" t="s">
        <v>41</v>
      </c>
      <c r="F43" s="25">
        <v>817.48010562876993</v>
      </c>
      <c r="G43" s="25">
        <v>817.48010562876993</v>
      </c>
      <c r="H43" s="25">
        <v>817.48010562876993</v>
      </c>
      <c r="I43" s="25">
        <v>576.92739148662099</v>
      </c>
      <c r="J43" s="25">
        <v>576.92739148662099</v>
      </c>
      <c r="K43" s="25">
        <v>576.92739148662099</v>
      </c>
      <c r="L43" s="25">
        <v>235.50681846744897</v>
      </c>
      <c r="M43" s="25">
        <v>346.02306323954303</v>
      </c>
      <c r="N43" s="25">
        <v>296.98111865103499</v>
      </c>
      <c r="O43" s="25">
        <v>-0.37771423391399139</v>
      </c>
      <c r="P43" s="25">
        <v>-0.37771423391399139</v>
      </c>
      <c r="Q43" s="25">
        <v>-1.6946071611016578E-2</v>
      </c>
      <c r="R43" s="25">
        <v>162.131043311236</v>
      </c>
      <c r="S43" s="25">
        <v>500.69538487561294</v>
      </c>
      <c r="T43" s="25">
        <v>846.91631887955009</v>
      </c>
      <c r="U43" s="25">
        <v>846.91631887955009</v>
      </c>
      <c r="V43" s="25">
        <v>846.91631887955009</v>
      </c>
      <c r="W43" s="25">
        <v>934.89347359964995</v>
      </c>
      <c r="X43" s="25">
        <v>934.89347359964995</v>
      </c>
      <c r="Y43" s="25">
        <v>934.89347359964995</v>
      </c>
    </row>
    <row r="44" spans="5:25">
      <c r="E44" s="39" t="s">
        <v>42</v>
      </c>
      <c r="F44" s="25">
        <v>817.48010562876993</v>
      </c>
      <c r="G44" s="25">
        <v>817.48010562876993</v>
      </c>
      <c r="H44" s="25">
        <v>817.48010562876993</v>
      </c>
      <c r="I44" s="25">
        <v>576.92739148662099</v>
      </c>
      <c r="J44" s="25">
        <v>576.92739148662099</v>
      </c>
      <c r="K44" s="25">
        <v>576.92739148662099</v>
      </c>
      <c r="L44" s="25">
        <v>235.50681846744897</v>
      </c>
      <c r="M44" s="25">
        <v>346.02306323954303</v>
      </c>
      <c r="N44" s="25">
        <v>296.98111865103499</v>
      </c>
      <c r="O44" s="25">
        <v>-0.37771423391399139</v>
      </c>
      <c r="P44" s="25">
        <v>-0.37771423391399139</v>
      </c>
      <c r="Q44" s="25">
        <v>-1.6946071611016578E-2</v>
      </c>
      <c r="R44" s="25">
        <v>162.131043311236</v>
      </c>
      <c r="S44" s="25">
        <v>500.69538487561294</v>
      </c>
      <c r="T44" s="25">
        <v>846.91631887955009</v>
      </c>
      <c r="U44" s="25">
        <v>846.91631887955009</v>
      </c>
      <c r="V44" s="25">
        <v>846.91631887955009</v>
      </c>
      <c r="W44" s="25">
        <v>934.89347359964995</v>
      </c>
      <c r="X44" s="25">
        <v>934.89347359964995</v>
      </c>
      <c r="Y44" s="25">
        <v>934.89347359964995</v>
      </c>
    </row>
    <row r="45" spans="5:25">
      <c r="E45" s="39" t="s">
        <v>43</v>
      </c>
      <c r="F45" s="25">
        <v>817.48010562876993</v>
      </c>
      <c r="G45" s="25">
        <v>817.48010562876993</v>
      </c>
      <c r="H45" s="25">
        <v>817.48010562876993</v>
      </c>
      <c r="I45" s="25">
        <v>576.92739148662099</v>
      </c>
      <c r="J45" s="25">
        <v>576.92739148662099</v>
      </c>
      <c r="K45" s="25">
        <v>576.92739148662099</v>
      </c>
      <c r="L45" s="25">
        <v>235.50681846744897</v>
      </c>
      <c r="M45" s="25">
        <v>346.02306323954303</v>
      </c>
      <c r="N45" s="25">
        <v>296.98111865103499</v>
      </c>
      <c r="O45" s="25">
        <v>-0.37771423391399139</v>
      </c>
      <c r="P45" s="25">
        <v>-0.37771423391399139</v>
      </c>
      <c r="Q45" s="25">
        <v>-1.6946071611016578E-2</v>
      </c>
      <c r="R45" s="25">
        <v>162.131043311236</v>
      </c>
      <c r="S45" s="25">
        <v>500.69538487561294</v>
      </c>
      <c r="T45" s="25">
        <v>846.91631887955009</v>
      </c>
      <c r="U45" s="25">
        <v>846.91631887955009</v>
      </c>
      <c r="V45" s="25">
        <v>846.91631887955009</v>
      </c>
      <c r="W45" s="25">
        <v>934.89347359964995</v>
      </c>
      <c r="X45" s="25">
        <v>934.89347359964995</v>
      </c>
      <c r="Y45" s="25">
        <v>934.89347359964995</v>
      </c>
    </row>
    <row r="46" spans="5:25">
      <c r="E46" s="39" t="s">
        <v>44</v>
      </c>
      <c r="F46" s="25">
        <v>817.48010562876993</v>
      </c>
      <c r="G46" s="25">
        <v>817.48010562876993</v>
      </c>
      <c r="H46" s="25">
        <v>817.48010562876993</v>
      </c>
      <c r="I46" s="25">
        <v>576.92739148662099</v>
      </c>
      <c r="J46" s="25">
        <v>576.92739148662099</v>
      </c>
      <c r="K46" s="25">
        <v>576.92739148662099</v>
      </c>
      <c r="L46" s="25">
        <v>235.50681846744897</v>
      </c>
      <c r="M46" s="25">
        <v>346.02306323954303</v>
      </c>
      <c r="N46" s="25">
        <v>296.98111865103499</v>
      </c>
      <c r="O46" s="25">
        <v>-0.37771423391399139</v>
      </c>
      <c r="P46" s="25">
        <v>-0.37771423391399139</v>
      </c>
      <c r="Q46" s="25">
        <v>-1.6946071611016578E-2</v>
      </c>
      <c r="R46" s="25">
        <v>162.131043311236</v>
      </c>
      <c r="S46" s="25">
        <v>500.69538487561294</v>
      </c>
      <c r="T46" s="25">
        <v>846.91631887955009</v>
      </c>
      <c r="U46" s="25">
        <v>846.91631887955009</v>
      </c>
      <c r="V46" s="25">
        <v>846.91631887955009</v>
      </c>
      <c r="W46" s="25">
        <v>934.89347359964995</v>
      </c>
      <c r="X46" s="25">
        <v>934.89347359964995</v>
      </c>
      <c r="Y46" s="25">
        <v>934.89347359964995</v>
      </c>
    </row>
    <row r="47" spans="5:25">
      <c r="E47" s="39" t="s">
        <v>45</v>
      </c>
      <c r="F47" s="25">
        <v>817.48010562876993</v>
      </c>
      <c r="G47" s="25">
        <v>817.48010562876993</v>
      </c>
      <c r="H47" s="25">
        <v>817.48010562876993</v>
      </c>
      <c r="I47" s="25">
        <v>576.92739148662099</v>
      </c>
      <c r="J47" s="25">
        <v>576.92739148662099</v>
      </c>
      <c r="K47" s="25">
        <v>576.92739148662099</v>
      </c>
      <c r="L47" s="25">
        <v>235.50681846744897</v>
      </c>
      <c r="M47" s="25">
        <v>346.02306323954303</v>
      </c>
      <c r="N47" s="25">
        <v>296.98111865103499</v>
      </c>
      <c r="O47" s="25">
        <v>-0.37771423391399139</v>
      </c>
      <c r="P47" s="25">
        <v>-0.37771423391399139</v>
      </c>
      <c r="Q47" s="25">
        <v>-1.6946071611016578E-2</v>
      </c>
      <c r="R47" s="25">
        <v>162.131043311236</v>
      </c>
      <c r="S47" s="25">
        <v>500.69538487561294</v>
      </c>
      <c r="T47" s="25">
        <v>846.91631887955009</v>
      </c>
      <c r="U47" s="25">
        <v>846.91631887955009</v>
      </c>
      <c r="V47" s="25">
        <v>846.91631887955009</v>
      </c>
      <c r="W47" s="25">
        <v>934.89347359964995</v>
      </c>
      <c r="X47" s="25">
        <v>934.89347359964995</v>
      </c>
      <c r="Y47" s="25">
        <v>934.89347359964995</v>
      </c>
    </row>
    <row r="48" spans="5:25">
      <c r="E48" s="39" t="s">
        <v>119</v>
      </c>
      <c r="F48" s="25">
        <v>817.48010562876993</v>
      </c>
      <c r="G48" s="25">
        <v>817.48010562876993</v>
      </c>
      <c r="H48" s="25">
        <v>817.48010562876993</v>
      </c>
      <c r="I48" s="25">
        <v>576.92739148662099</v>
      </c>
      <c r="J48" s="25">
        <v>576.92739148662099</v>
      </c>
      <c r="K48" s="25">
        <v>576.92739148662099</v>
      </c>
      <c r="L48" s="25">
        <v>235.50681846744897</v>
      </c>
      <c r="M48" s="25">
        <v>346.02306323954303</v>
      </c>
      <c r="N48" s="25">
        <v>296.98111865103499</v>
      </c>
      <c r="O48" s="25">
        <v>-0.37771423391399139</v>
      </c>
      <c r="P48" s="25">
        <v>-0.37771423391399139</v>
      </c>
      <c r="Q48" s="25">
        <v>-1.6946071611016578E-2</v>
      </c>
      <c r="R48" s="25">
        <v>162.131043311236</v>
      </c>
      <c r="S48" s="25">
        <v>500.69538487561294</v>
      </c>
      <c r="T48" s="25">
        <v>846.91631887955009</v>
      </c>
      <c r="U48" s="25">
        <v>846.91631887955009</v>
      </c>
      <c r="V48" s="25">
        <v>846.91631887955009</v>
      </c>
      <c r="W48" s="25">
        <v>934.89347359964995</v>
      </c>
      <c r="X48" s="25">
        <v>934.89347359964995</v>
      </c>
      <c r="Y48" s="25">
        <v>934.89347359964995</v>
      </c>
    </row>
    <row r="49" spans="5:25">
      <c r="E49" s="39" t="s">
        <v>120</v>
      </c>
      <c r="F49" s="25">
        <v>817.48010562876993</v>
      </c>
      <c r="G49" s="25">
        <v>817.48010562876993</v>
      </c>
      <c r="H49" s="25">
        <v>817.48010562876993</v>
      </c>
      <c r="I49" s="25">
        <v>576.92739148662099</v>
      </c>
      <c r="J49" s="25">
        <v>576.92739148662099</v>
      </c>
      <c r="K49" s="25">
        <v>576.92739148662099</v>
      </c>
      <c r="L49" s="25">
        <v>235.50681846744897</v>
      </c>
      <c r="M49" s="25">
        <v>346.02306323954303</v>
      </c>
      <c r="N49" s="25">
        <v>296.98111865103499</v>
      </c>
      <c r="O49" s="25">
        <v>-0.37771423391399139</v>
      </c>
      <c r="P49" s="25">
        <v>-0.37771423391399139</v>
      </c>
      <c r="Q49" s="25">
        <v>-1.6946071611016578E-2</v>
      </c>
      <c r="R49" s="25">
        <v>162.131043311236</v>
      </c>
      <c r="S49" s="25">
        <v>500.69538487561294</v>
      </c>
      <c r="T49" s="25">
        <v>846.91631887955009</v>
      </c>
      <c r="U49" s="25">
        <v>846.91631887955009</v>
      </c>
      <c r="V49" s="25">
        <v>846.91631887955009</v>
      </c>
      <c r="W49" s="25">
        <v>934.89347359964995</v>
      </c>
      <c r="X49" s="25">
        <v>934.89347359964995</v>
      </c>
      <c r="Y49" s="25">
        <v>934.89347359964995</v>
      </c>
    </row>
    <row r="50" spans="5:25">
      <c r="E50" s="39" t="s">
        <v>121</v>
      </c>
      <c r="F50" s="25">
        <v>817.48010562876993</v>
      </c>
      <c r="G50" s="25">
        <v>817.48010562876993</v>
      </c>
      <c r="H50" s="25">
        <v>817.48010562876993</v>
      </c>
      <c r="I50" s="25">
        <v>576.92739148662099</v>
      </c>
      <c r="J50" s="25">
        <v>576.92739148662099</v>
      </c>
      <c r="K50" s="25">
        <v>576.92739148662099</v>
      </c>
      <c r="L50" s="25">
        <v>235.50681846744897</v>
      </c>
      <c r="M50" s="25">
        <v>346.02306323954303</v>
      </c>
      <c r="N50" s="25">
        <v>296.98111865103499</v>
      </c>
      <c r="O50" s="25">
        <v>-0.37771423391399139</v>
      </c>
      <c r="P50" s="25">
        <v>-0.37771423391399139</v>
      </c>
      <c r="Q50" s="25">
        <v>-1.6946071611016578E-2</v>
      </c>
      <c r="R50" s="25">
        <v>162.131043311236</v>
      </c>
      <c r="S50" s="25">
        <v>500.69538487561294</v>
      </c>
      <c r="T50" s="25">
        <v>846.91631887955009</v>
      </c>
      <c r="U50" s="25">
        <v>846.91631887955009</v>
      </c>
      <c r="V50" s="25">
        <v>846.91631887955009</v>
      </c>
      <c r="W50" s="25">
        <v>934.89347359964995</v>
      </c>
      <c r="X50" s="25">
        <v>934.89347359964995</v>
      </c>
      <c r="Y50" s="25">
        <v>934.89347359964995</v>
      </c>
    </row>
    <row r="51" spans="5:25">
      <c r="E51" s="39" t="s">
        <v>122</v>
      </c>
      <c r="F51" s="25">
        <v>817.48010562876993</v>
      </c>
      <c r="G51" s="25">
        <v>817.48010562876993</v>
      </c>
      <c r="H51" s="25">
        <v>817.48010562876993</v>
      </c>
      <c r="I51" s="25">
        <v>576.92739148662099</v>
      </c>
      <c r="J51" s="25">
        <v>576.92739148662099</v>
      </c>
      <c r="K51" s="25">
        <v>576.92739148662099</v>
      </c>
      <c r="L51" s="25">
        <v>235.50681846744897</v>
      </c>
      <c r="M51" s="25">
        <v>346.02306323954303</v>
      </c>
      <c r="N51" s="25">
        <v>296.98111865103499</v>
      </c>
      <c r="O51" s="25">
        <v>-0.37771423391399139</v>
      </c>
      <c r="P51" s="25">
        <v>-0.37771423391399139</v>
      </c>
      <c r="Q51" s="25">
        <v>-1.6946071611016578E-2</v>
      </c>
      <c r="R51" s="25">
        <v>162.131043311236</v>
      </c>
      <c r="S51" s="25">
        <v>500.69538487561294</v>
      </c>
      <c r="T51" s="25">
        <v>846.91631887955009</v>
      </c>
      <c r="U51" s="25">
        <v>846.91631887955009</v>
      </c>
      <c r="V51" s="25">
        <v>846.91631887955009</v>
      </c>
      <c r="W51" s="25">
        <v>934.89347359964995</v>
      </c>
      <c r="X51" s="25">
        <v>934.89347359964995</v>
      </c>
      <c r="Y51" s="25">
        <v>934.89347359964995</v>
      </c>
    </row>
    <row r="52" spans="5:25">
      <c r="E52" s="39" t="s">
        <v>123</v>
      </c>
      <c r="F52" s="25">
        <v>817.48010562876993</v>
      </c>
      <c r="G52" s="25">
        <v>817.48010562876993</v>
      </c>
      <c r="H52" s="25">
        <v>817.48010562876993</v>
      </c>
      <c r="I52" s="25">
        <v>576.92739148662099</v>
      </c>
      <c r="J52" s="25">
        <v>576.92739148662099</v>
      </c>
      <c r="K52" s="25">
        <v>576.92739148662099</v>
      </c>
      <c r="L52" s="25">
        <v>235.50681846744897</v>
      </c>
      <c r="M52" s="25">
        <v>346.02306323954303</v>
      </c>
      <c r="N52" s="25">
        <v>296.98111865103499</v>
      </c>
      <c r="O52" s="25">
        <v>-0.37771423391399139</v>
      </c>
      <c r="P52" s="25">
        <v>-0.37771423391399139</v>
      </c>
      <c r="Q52" s="25">
        <v>-1.6946071611016578E-2</v>
      </c>
      <c r="R52" s="25">
        <v>162.131043311236</v>
      </c>
      <c r="S52" s="25">
        <v>500.69538487561294</v>
      </c>
      <c r="T52" s="25">
        <v>846.91631887955009</v>
      </c>
      <c r="U52" s="25">
        <v>846.91631887955009</v>
      </c>
      <c r="V52" s="25">
        <v>846.91631887955009</v>
      </c>
      <c r="W52" s="25">
        <v>934.89347359964995</v>
      </c>
      <c r="X52" s="25">
        <v>934.89347359964995</v>
      </c>
      <c r="Y52" s="25">
        <v>934.89347359964995</v>
      </c>
    </row>
    <row r="53" spans="5:25">
      <c r="E53" s="39" t="s">
        <v>124</v>
      </c>
      <c r="F53" s="25">
        <v>817.48010562876993</v>
      </c>
      <c r="G53" s="25">
        <v>817.48010562876993</v>
      </c>
      <c r="H53" s="25">
        <v>817.48010562876993</v>
      </c>
      <c r="I53" s="25">
        <v>576.92739148662099</v>
      </c>
      <c r="J53" s="25">
        <v>576.92739148662099</v>
      </c>
      <c r="K53" s="25">
        <v>576.92739148662099</v>
      </c>
      <c r="L53" s="25">
        <v>235.50681846744897</v>
      </c>
      <c r="M53" s="25">
        <v>346.02306323954303</v>
      </c>
      <c r="N53" s="25">
        <v>296.98111865103499</v>
      </c>
      <c r="O53" s="25">
        <v>-0.37771423391399139</v>
      </c>
      <c r="P53" s="25">
        <v>-0.37771423391399139</v>
      </c>
      <c r="Q53" s="25">
        <v>-1.6946071611016578E-2</v>
      </c>
      <c r="R53" s="25">
        <v>162.131043311236</v>
      </c>
      <c r="S53" s="25">
        <v>500.69538487561294</v>
      </c>
      <c r="T53" s="25">
        <v>846.91631887955009</v>
      </c>
      <c r="U53" s="25">
        <v>846.91631887955009</v>
      </c>
      <c r="V53" s="25">
        <v>846.91631887955009</v>
      </c>
      <c r="W53" s="25">
        <v>934.89347359964995</v>
      </c>
      <c r="X53" s="25">
        <v>934.89347359964995</v>
      </c>
      <c r="Y53" s="25">
        <v>934.89347359964995</v>
      </c>
    </row>
    <row r="54" spans="5:25">
      <c r="E54" s="39" t="s">
        <v>125</v>
      </c>
      <c r="F54" s="25">
        <v>817.48010562876993</v>
      </c>
      <c r="G54" s="25">
        <v>817.48010562876993</v>
      </c>
      <c r="H54" s="25">
        <v>817.48010562876993</v>
      </c>
      <c r="I54" s="25">
        <v>576.92739148662099</v>
      </c>
      <c r="J54" s="25">
        <v>576.92739148662099</v>
      </c>
      <c r="K54" s="25">
        <v>576.92739148662099</v>
      </c>
      <c r="L54" s="25">
        <v>235.50681846744897</v>
      </c>
      <c r="M54" s="25">
        <v>346.02306323954303</v>
      </c>
      <c r="N54" s="25">
        <v>296.98111865103499</v>
      </c>
      <c r="O54" s="25">
        <v>-0.37771423391399139</v>
      </c>
      <c r="P54" s="25">
        <v>-0.37771423391399139</v>
      </c>
      <c r="Q54" s="25">
        <v>-1.6946071611016578E-2</v>
      </c>
      <c r="R54" s="25">
        <v>162.131043311236</v>
      </c>
      <c r="S54" s="25">
        <v>500.69538487561294</v>
      </c>
      <c r="T54" s="25">
        <v>846.91631887955009</v>
      </c>
      <c r="U54" s="25">
        <v>846.91631887955009</v>
      </c>
      <c r="V54" s="25">
        <v>846.91631887955009</v>
      </c>
      <c r="W54" s="25">
        <v>934.89347359964995</v>
      </c>
      <c r="X54" s="25">
        <v>934.89347359964995</v>
      </c>
      <c r="Y54" s="25">
        <v>934.89347359964995</v>
      </c>
    </row>
    <row r="55" spans="5:25">
      <c r="E55" s="39" t="s">
        <v>126</v>
      </c>
      <c r="F55" s="25">
        <v>817.48010562876993</v>
      </c>
      <c r="G55" s="25">
        <v>817.48010562876993</v>
      </c>
      <c r="H55" s="25">
        <v>817.48010562876993</v>
      </c>
      <c r="I55" s="25">
        <v>576.92739148662099</v>
      </c>
      <c r="J55" s="25">
        <v>576.92739148662099</v>
      </c>
      <c r="K55" s="25">
        <v>576.92739148662099</v>
      </c>
      <c r="L55" s="25">
        <v>235.50681846744897</v>
      </c>
      <c r="M55" s="25">
        <v>346.02306323954303</v>
      </c>
      <c r="N55" s="25">
        <v>296.98111865103499</v>
      </c>
      <c r="O55" s="25">
        <v>-0.37771423391399139</v>
      </c>
      <c r="P55" s="25">
        <v>-0.37771423391399139</v>
      </c>
      <c r="Q55" s="25">
        <v>-1.6946071611016578E-2</v>
      </c>
      <c r="R55" s="25">
        <v>162.131043311236</v>
      </c>
      <c r="S55" s="25">
        <v>500.69538487561294</v>
      </c>
      <c r="T55" s="25">
        <v>846.91631887955009</v>
      </c>
      <c r="U55" s="25">
        <v>846.91631887955009</v>
      </c>
      <c r="V55" s="25">
        <v>846.91631887955009</v>
      </c>
      <c r="W55" s="25">
        <v>934.89347359964995</v>
      </c>
      <c r="X55" s="25">
        <v>934.89347359964995</v>
      </c>
      <c r="Y55" s="25">
        <v>934.89347359964995</v>
      </c>
    </row>
    <row r="58" spans="5:25">
      <c r="F58" s="26"/>
      <c r="G58" s="26"/>
      <c r="H58" s="26"/>
      <c r="I58" s="26"/>
      <c r="J58" s="26"/>
      <c r="K58" s="26"/>
      <c r="L58" s="26"/>
      <c r="M58" s="26"/>
      <c r="N58" s="41"/>
      <c r="O58" s="41"/>
      <c r="P58" s="41"/>
      <c r="Q58" s="41"/>
      <c r="R58" s="41"/>
      <c r="S58" s="26"/>
      <c r="T58" s="26"/>
      <c r="U58" s="26"/>
      <c r="V58" s="26"/>
      <c r="W58" s="26"/>
      <c r="X58" s="26"/>
      <c r="Y58" s="26"/>
    </row>
    <row r="59" spans="5:25"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5:25"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5:25">
      <c r="F61" s="26"/>
      <c r="G61" s="26"/>
      <c r="H61" s="26"/>
      <c r="I61" s="26"/>
      <c r="J61" s="26"/>
      <c r="K61" s="26"/>
      <c r="L61" s="26"/>
      <c r="M61" s="26"/>
      <c r="N61" s="41"/>
      <c r="O61" s="41"/>
      <c r="P61" s="41"/>
      <c r="Q61" s="41"/>
      <c r="R61" s="41"/>
      <c r="S61" s="26"/>
      <c r="T61" s="26"/>
      <c r="U61" s="26"/>
      <c r="V61" s="26"/>
      <c r="W61" s="26"/>
      <c r="X61" s="26"/>
      <c r="Y61" s="26"/>
    </row>
    <row r="62" spans="5:25"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7817-440A-AD49-947F-7E8CA1A54D3B}">
  <dimension ref="A1:U55"/>
  <sheetViews>
    <sheetView workbookViewId="0">
      <selection activeCell="Q17" sqref="Q17"/>
    </sheetView>
  </sheetViews>
  <sheetFormatPr baseColWidth="10" defaultRowHeight="15"/>
  <sheetData>
    <row r="1" spans="1:21" ht="16">
      <c r="A1" s="63" t="s">
        <v>18</v>
      </c>
      <c r="B1" s="64" t="s">
        <v>5</v>
      </c>
      <c r="C1" s="64" t="s">
        <v>6</v>
      </c>
      <c r="D1" s="64" t="s">
        <v>7</v>
      </c>
      <c r="E1" s="65" t="s">
        <v>8</v>
      </c>
      <c r="F1" s="65" t="s">
        <v>9</v>
      </c>
      <c r="G1" s="65" t="s">
        <v>10</v>
      </c>
      <c r="H1" s="64">
        <v>9</v>
      </c>
      <c r="I1" s="64">
        <v>10</v>
      </c>
      <c r="J1" s="64">
        <v>11</v>
      </c>
      <c r="K1" s="64">
        <v>12</v>
      </c>
      <c r="L1" s="64">
        <v>1</v>
      </c>
      <c r="M1" s="64">
        <v>2</v>
      </c>
      <c r="N1" s="64">
        <v>3</v>
      </c>
      <c r="O1" s="64">
        <v>4</v>
      </c>
      <c r="P1" s="65" t="s">
        <v>11</v>
      </c>
      <c r="Q1" s="65" t="s">
        <v>12</v>
      </c>
      <c r="R1" s="65" t="s">
        <v>13</v>
      </c>
      <c r="S1" s="65" t="s">
        <v>14</v>
      </c>
      <c r="T1" s="65" t="s">
        <v>15</v>
      </c>
      <c r="U1" s="65" t="s">
        <v>16</v>
      </c>
    </row>
    <row r="2" spans="1:21">
      <c r="A2" s="43" t="s">
        <v>46</v>
      </c>
      <c r="B2" s="66">
        <v>13.9043968265026</v>
      </c>
      <c r="C2" s="66">
        <v>13.9043968265026</v>
      </c>
      <c r="D2" s="66">
        <v>13.9043968265026</v>
      </c>
      <c r="E2" s="66">
        <v>11.1817313313111</v>
      </c>
      <c r="F2" s="66">
        <v>11.1817313313111</v>
      </c>
      <c r="G2" s="66">
        <v>11.1817313313111</v>
      </c>
      <c r="H2" s="66">
        <v>7.3174057225860603</v>
      </c>
      <c r="I2" s="66">
        <v>8.56826987255908</v>
      </c>
      <c r="J2" s="66">
        <v>8.0131948204051309</v>
      </c>
      <c r="K2" s="66">
        <v>4.6475764490910896</v>
      </c>
      <c r="L2" s="66">
        <v>4.6475764490910896</v>
      </c>
      <c r="M2" s="66">
        <v>4.6516597579440804</v>
      </c>
      <c r="N2" s="66">
        <v>6.4869112843370802</v>
      </c>
      <c r="O2" s="66">
        <v>10.318908998296999</v>
      </c>
      <c r="P2" s="66">
        <v>14.237566886182901</v>
      </c>
      <c r="Q2" s="66">
        <v>14.237566886182901</v>
      </c>
      <c r="R2" s="66">
        <v>14.237566886182901</v>
      </c>
      <c r="S2" s="66">
        <v>15.2333251937778</v>
      </c>
      <c r="T2" s="66">
        <v>15.2333251937778</v>
      </c>
      <c r="U2" s="66">
        <v>15.2333251937778</v>
      </c>
    </row>
    <row r="3" spans="1:21">
      <c r="A3" s="43" t="s">
        <v>47</v>
      </c>
      <c r="B3" s="66">
        <v>13.9043968265026</v>
      </c>
      <c r="C3" s="66">
        <v>13.9043968265026</v>
      </c>
      <c r="D3" s="66">
        <v>13.9043968265026</v>
      </c>
      <c r="E3" s="66">
        <v>11.1817313313111</v>
      </c>
      <c r="F3" s="66">
        <v>11.1817313313111</v>
      </c>
      <c r="G3" s="66">
        <v>11.1817313313111</v>
      </c>
      <c r="H3" s="66">
        <v>7.3174057225860603</v>
      </c>
      <c r="I3" s="66">
        <v>8.56826987255908</v>
      </c>
      <c r="J3" s="66">
        <v>8.0131948204051309</v>
      </c>
      <c r="K3" s="66">
        <v>4.6475764490910896</v>
      </c>
      <c r="L3" s="66">
        <v>4.6475764490910896</v>
      </c>
      <c r="M3" s="66">
        <v>4.6516597579440804</v>
      </c>
      <c r="N3" s="66">
        <v>6.4869112843370802</v>
      </c>
      <c r="O3" s="66">
        <v>10.318908998296999</v>
      </c>
      <c r="P3" s="66">
        <v>14.237566886182901</v>
      </c>
      <c r="Q3" s="66">
        <v>14.237566886182901</v>
      </c>
      <c r="R3" s="66">
        <v>14.237566886182901</v>
      </c>
      <c r="S3" s="66">
        <v>15.2333251937778</v>
      </c>
      <c r="T3" s="66">
        <v>15.2333251937778</v>
      </c>
      <c r="U3" s="66">
        <v>15.2333251937778</v>
      </c>
    </row>
    <row r="4" spans="1:21">
      <c r="A4" s="43" t="s">
        <v>48</v>
      </c>
      <c r="B4" s="66">
        <v>13.9043968265026</v>
      </c>
      <c r="C4" s="66">
        <v>13.9043968265026</v>
      </c>
      <c r="D4" s="66">
        <v>13.9043968265026</v>
      </c>
      <c r="E4" s="66">
        <v>11.1817313313111</v>
      </c>
      <c r="F4" s="66">
        <v>11.1817313313111</v>
      </c>
      <c r="G4" s="66">
        <v>11.1817313313111</v>
      </c>
      <c r="H4" s="66">
        <v>7.3174057225860603</v>
      </c>
      <c r="I4" s="66">
        <v>8.56826987255908</v>
      </c>
      <c r="J4" s="66">
        <v>8.0131948204051309</v>
      </c>
      <c r="K4" s="66">
        <v>4.6475764490910896</v>
      </c>
      <c r="L4" s="66">
        <v>4.6475764490910896</v>
      </c>
      <c r="M4" s="66">
        <v>4.6516597579440804</v>
      </c>
      <c r="N4" s="66">
        <v>6.4869112843370802</v>
      </c>
      <c r="O4" s="66">
        <v>10.318908998296999</v>
      </c>
      <c r="P4" s="66">
        <v>14.237566886182901</v>
      </c>
      <c r="Q4" s="66">
        <v>14.237566886182901</v>
      </c>
      <c r="R4" s="66">
        <v>14.237566886182901</v>
      </c>
      <c r="S4" s="66">
        <v>15.2333251937778</v>
      </c>
      <c r="T4" s="66">
        <v>15.2333251937778</v>
      </c>
      <c r="U4" s="66">
        <v>15.2333251937778</v>
      </c>
    </row>
    <row r="5" spans="1:21">
      <c r="A5" s="43" t="s">
        <v>49</v>
      </c>
      <c r="B5" s="66">
        <v>13.9043968265026</v>
      </c>
      <c r="C5" s="66">
        <v>13.9043968265026</v>
      </c>
      <c r="D5" s="66">
        <v>13.9043968265026</v>
      </c>
      <c r="E5" s="66">
        <v>11.1817313313111</v>
      </c>
      <c r="F5" s="66">
        <v>11.1817313313111</v>
      </c>
      <c r="G5" s="66">
        <v>11.1817313313111</v>
      </c>
      <c r="H5" s="66">
        <v>7.3174057225860603</v>
      </c>
      <c r="I5" s="66">
        <v>8.56826987255908</v>
      </c>
      <c r="J5" s="66">
        <v>8.0131948204051309</v>
      </c>
      <c r="K5" s="66">
        <v>4.6475764490910896</v>
      </c>
      <c r="L5" s="66">
        <v>4.6475764490910896</v>
      </c>
      <c r="M5" s="66">
        <v>4.6516597579440804</v>
      </c>
      <c r="N5" s="66">
        <v>6.4869112843370802</v>
      </c>
      <c r="O5" s="66">
        <v>10.318908998296999</v>
      </c>
      <c r="P5" s="66">
        <v>14.237566886182901</v>
      </c>
      <c r="Q5" s="66">
        <v>14.237566886182901</v>
      </c>
      <c r="R5" s="66">
        <v>14.237566886182901</v>
      </c>
      <c r="S5" s="66">
        <v>15.2333251937778</v>
      </c>
      <c r="T5" s="66">
        <v>15.2333251937778</v>
      </c>
      <c r="U5" s="66">
        <v>15.2333251937778</v>
      </c>
    </row>
    <row r="6" spans="1:21">
      <c r="A6" s="43" t="s">
        <v>50</v>
      </c>
      <c r="B6" s="66">
        <v>13.9043968265026</v>
      </c>
      <c r="C6" s="66">
        <v>13.9043968265026</v>
      </c>
      <c r="D6" s="66">
        <v>13.9043968265026</v>
      </c>
      <c r="E6" s="66">
        <v>11.1817313313111</v>
      </c>
      <c r="F6" s="66">
        <v>11.1817313313111</v>
      </c>
      <c r="G6" s="66">
        <v>11.1817313313111</v>
      </c>
      <c r="H6" s="66">
        <v>7.3174057225860603</v>
      </c>
      <c r="I6" s="66">
        <v>8.56826987255908</v>
      </c>
      <c r="J6" s="66">
        <v>8.0131948204051309</v>
      </c>
      <c r="K6" s="66">
        <v>4.6475764490910896</v>
      </c>
      <c r="L6" s="66">
        <v>4.6475764490910896</v>
      </c>
      <c r="M6" s="66">
        <v>4.6516597579440804</v>
      </c>
      <c r="N6" s="66">
        <v>6.4869112843370802</v>
      </c>
      <c r="O6" s="66">
        <v>10.318908998296999</v>
      </c>
      <c r="P6" s="66">
        <v>14.237566886182901</v>
      </c>
      <c r="Q6" s="66">
        <v>14.237566886182901</v>
      </c>
      <c r="R6" s="66">
        <v>14.237566886182901</v>
      </c>
      <c r="S6" s="66">
        <v>15.2333251937778</v>
      </c>
      <c r="T6" s="66">
        <v>15.2333251937778</v>
      </c>
      <c r="U6" s="66">
        <v>15.2333251937778</v>
      </c>
    </row>
    <row r="7" spans="1:21">
      <c r="A7" s="43" t="s">
        <v>51</v>
      </c>
      <c r="B7" s="66">
        <v>13.9043968265026</v>
      </c>
      <c r="C7" s="66">
        <v>13.9043968265026</v>
      </c>
      <c r="D7" s="66">
        <v>13.9043968265026</v>
      </c>
      <c r="E7" s="66">
        <v>11.1817313313111</v>
      </c>
      <c r="F7" s="66">
        <v>11.1817313313111</v>
      </c>
      <c r="G7" s="66">
        <v>11.1817313313111</v>
      </c>
      <c r="H7" s="66">
        <v>7.3174057225860603</v>
      </c>
      <c r="I7" s="66">
        <v>8.56826987255908</v>
      </c>
      <c r="J7" s="66">
        <v>8.0131948204051309</v>
      </c>
      <c r="K7" s="66">
        <v>4.6475764490910896</v>
      </c>
      <c r="L7" s="66">
        <v>4.6475764490910896</v>
      </c>
      <c r="M7" s="66">
        <v>4.6516597579440804</v>
      </c>
      <c r="N7" s="66">
        <v>6.4869112843370802</v>
      </c>
      <c r="O7" s="66">
        <v>10.318908998296999</v>
      </c>
      <c r="P7" s="66">
        <v>14.237566886182901</v>
      </c>
      <c r="Q7" s="66">
        <v>14.237566886182901</v>
      </c>
      <c r="R7" s="66">
        <v>14.237566886182901</v>
      </c>
      <c r="S7" s="66">
        <v>15.2333251937778</v>
      </c>
      <c r="T7" s="66">
        <v>15.2333251937778</v>
      </c>
      <c r="U7" s="66">
        <v>15.2333251937778</v>
      </c>
    </row>
    <row r="8" spans="1:21">
      <c r="A8" s="43" t="s">
        <v>52</v>
      </c>
      <c r="B8" s="66">
        <v>13.9043968265026</v>
      </c>
      <c r="C8" s="66">
        <v>13.9043968265026</v>
      </c>
      <c r="D8" s="66">
        <v>13.9043968265026</v>
      </c>
      <c r="E8" s="66">
        <v>11.1817313313111</v>
      </c>
      <c r="F8" s="66">
        <v>11.1817313313111</v>
      </c>
      <c r="G8" s="66">
        <v>11.1817313313111</v>
      </c>
      <c r="H8" s="66">
        <v>7.3174057225860603</v>
      </c>
      <c r="I8" s="66">
        <v>8.56826987255908</v>
      </c>
      <c r="J8" s="66">
        <v>8.0131948204051309</v>
      </c>
      <c r="K8" s="66">
        <v>4.6475764490910896</v>
      </c>
      <c r="L8" s="66">
        <v>4.6475764490910896</v>
      </c>
      <c r="M8" s="66">
        <v>4.6516597579440804</v>
      </c>
      <c r="N8" s="66">
        <v>6.4869112843370802</v>
      </c>
      <c r="O8" s="66">
        <v>10.318908998296999</v>
      </c>
      <c r="P8" s="66">
        <v>14.237566886182901</v>
      </c>
      <c r="Q8" s="66">
        <v>14.237566886182901</v>
      </c>
      <c r="R8" s="66">
        <v>14.237566886182901</v>
      </c>
      <c r="S8" s="66">
        <v>15.2333251937778</v>
      </c>
      <c r="T8" s="66">
        <v>15.2333251937778</v>
      </c>
      <c r="U8" s="66">
        <v>15.2333251937778</v>
      </c>
    </row>
    <row r="9" spans="1:21">
      <c r="A9" s="43" t="s">
        <v>53</v>
      </c>
      <c r="B9" s="66">
        <v>13.9043968265026</v>
      </c>
      <c r="C9" s="66">
        <v>13.9043968265026</v>
      </c>
      <c r="D9" s="66">
        <v>13.9043968265026</v>
      </c>
      <c r="E9" s="66">
        <v>11.1817313313111</v>
      </c>
      <c r="F9" s="66">
        <v>11.1817313313111</v>
      </c>
      <c r="G9" s="66">
        <v>11.1817313313111</v>
      </c>
      <c r="H9" s="66">
        <v>7.3174057225860603</v>
      </c>
      <c r="I9" s="66">
        <v>8.56826987255908</v>
      </c>
      <c r="J9" s="66">
        <v>8.0131948204051309</v>
      </c>
      <c r="K9" s="66">
        <v>4.6475764490910896</v>
      </c>
      <c r="L9" s="66">
        <v>4.6475764490910896</v>
      </c>
      <c r="M9" s="66">
        <v>4.6516597579440804</v>
      </c>
      <c r="N9" s="66">
        <v>6.4869112843370802</v>
      </c>
      <c r="O9" s="66">
        <v>10.318908998296999</v>
      </c>
      <c r="P9" s="66">
        <v>14.237566886182901</v>
      </c>
      <c r="Q9" s="66">
        <v>14.237566886182901</v>
      </c>
      <c r="R9" s="66">
        <v>14.237566886182901</v>
      </c>
      <c r="S9" s="66">
        <v>15.2333251937778</v>
      </c>
      <c r="T9" s="66">
        <v>15.2333251937778</v>
      </c>
      <c r="U9" s="66">
        <v>15.2333251937778</v>
      </c>
    </row>
    <row r="10" spans="1:21">
      <c r="A10" s="43" t="s">
        <v>54</v>
      </c>
      <c r="B10" s="66">
        <v>13.9043968265026</v>
      </c>
      <c r="C10" s="66">
        <v>13.9043968265026</v>
      </c>
      <c r="D10" s="66">
        <v>13.9043968265026</v>
      </c>
      <c r="E10" s="66">
        <v>11.1817313313111</v>
      </c>
      <c r="F10" s="66">
        <v>11.1817313313111</v>
      </c>
      <c r="G10" s="66">
        <v>11.1817313313111</v>
      </c>
      <c r="H10" s="66">
        <v>7.3174057225860603</v>
      </c>
      <c r="I10" s="66">
        <v>8.56826987255908</v>
      </c>
      <c r="J10" s="66">
        <v>8.0131948204051309</v>
      </c>
      <c r="K10" s="66">
        <v>4.6475764490910896</v>
      </c>
      <c r="L10" s="66">
        <v>4.6475764490910896</v>
      </c>
      <c r="M10" s="66">
        <v>4.6516597579440804</v>
      </c>
      <c r="N10" s="66">
        <v>6.4869112843370802</v>
      </c>
      <c r="O10" s="66">
        <v>10.318908998296999</v>
      </c>
      <c r="P10" s="66">
        <v>14.237566886182901</v>
      </c>
      <c r="Q10" s="66">
        <v>14.237566886182901</v>
      </c>
      <c r="R10" s="66">
        <v>14.237566886182901</v>
      </c>
      <c r="S10" s="66">
        <v>15.2333251937778</v>
      </c>
      <c r="T10" s="66">
        <v>15.2333251937778</v>
      </c>
      <c r="U10" s="66">
        <v>15.2333251937778</v>
      </c>
    </row>
    <row r="11" spans="1:21">
      <c r="A11" s="43" t="s">
        <v>55</v>
      </c>
      <c r="B11" s="66">
        <v>13.9043968265026</v>
      </c>
      <c r="C11" s="66">
        <v>13.9043968265026</v>
      </c>
      <c r="D11" s="66">
        <v>13.9043968265026</v>
      </c>
      <c r="E11" s="66">
        <v>11.1817313313111</v>
      </c>
      <c r="F11" s="66">
        <v>11.1817313313111</v>
      </c>
      <c r="G11" s="66">
        <v>11.1817313313111</v>
      </c>
      <c r="H11" s="66">
        <v>7.3174057225860603</v>
      </c>
      <c r="I11" s="66">
        <v>8.56826987255908</v>
      </c>
      <c r="J11" s="66">
        <v>8.0131948204051309</v>
      </c>
      <c r="K11" s="66">
        <v>4.6475764490910896</v>
      </c>
      <c r="L11" s="66">
        <v>4.6475764490910896</v>
      </c>
      <c r="M11" s="66">
        <v>4.6516597579440804</v>
      </c>
      <c r="N11" s="66">
        <v>6.4869112843370802</v>
      </c>
      <c r="O11" s="66">
        <v>10.318908998296999</v>
      </c>
      <c r="P11" s="66">
        <v>14.237566886182901</v>
      </c>
      <c r="Q11" s="66">
        <v>14.237566886182901</v>
      </c>
      <c r="R11" s="66">
        <v>14.237566886182901</v>
      </c>
      <c r="S11" s="66">
        <v>15.2333251937778</v>
      </c>
      <c r="T11" s="66">
        <v>15.2333251937778</v>
      </c>
      <c r="U11" s="66">
        <v>15.2333251937778</v>
      </c>
    </row>
    <row r="12" spans="1:21">
      <c r="A12" s="43" t="s">
        <v>56</v>
      </c>
      <c r="B12" s="66">
        <v>13.9043968265026</v>
      </c>
      <c r="C12" s="66">
        <v>13.9043968265026</v>
      </c>
      <c r="D12" s="66">
        <v>13.9043968265026</v>
      </c>
      <c r="E12" s="66">
        <v>11.1817313313111</v>
      </c>
      <c r="F12" s="66">
        <v>11.1817313313111</v>
      </c>
      <c r="G12" s="66">
        <v>11.1817313313111</v>
      </c>
      <c r="H12" s="66">
        <v>7.3174057225860603</v>
      </c>
      <c r="I12" s="66">
        <v>8.56826987255908</v>
      </c>
      <c r="J12" s="66">
        <v>8.0131948204051309</v>
      </c>
      <c r="K12" s="66">
        <v>4.6475764490910896</v>
      </c>
      <c r="L12" s="66">
        <v>4.6475764490910896</v>
      </c>
      <c r="M12" s="66">
        <v>4.6516597579440804</v>
      </c>
      <c r="N12" s="66">
        <v>6.4869112843370802</v>
      </c>
      <c r="O12" s="66">
        <v>10.318908998296999</v>
      </c>
      <c r="P12" s="66">
        <v>14.237566886182901</v>
      </c>
      <c r="Q12" s="66">
        <v>14.237566886182901</v>
      </c>
      <c r="R12" s="66">
        <v>14.237566886182901</v>
      </c>
      <c r="S12" s="66">
        <v>15.2333251937778</v>
      </c>
      <c r="T12" s="66">
        <v>15.2333251937778</v>
      </c>
      <c r="U12" s="66">
        <v>15.2333251937778</v>
      </c>
    </row>
    <row r="13" spans="1:21">
      <c r="A13" s="43" t="s">
        <v>57</v>
      </c>
      <c r="B13" s="66">
        <v>13.9043968265026</v>
      </c>
      <c r="C13" s="66">
        <v>13.9043968265026</v>
      </c>
      <c r="D13" s="66">
        <v>13.9043968265026</v>
      </c>
      <c r="E13" s="66">
        <v>11.1817313313111</v>
      </c>
      <c r="F13" s="66">
        <v>11.1817313313111</v>
      </c>
      <c r="G13" s="66">
        <v>11.1817313313111</v>
      </c>
      <c r="H13" s="66">
        <v>7.3174057225860603</v>
      </c>
      <c r="I13" s="66">
        <v>8.56826987255908</v>
      </c>
      <c r="J13" s="66">
        <v>8.0131948204051309</v>
      </c>
      <c r="K13" s="66">
        <v>4.6475764490910896</v>
      </c>
      <c r="L13" s="66">
        <v>4.6475764490910896</v>
      </c>
      <c r="M13" s="66">
        <v>4.6516597579440804</v>
      </c>
      <c r="N13" s="66">
        <v>6.4869112843370802</v>
      </c>
      <c r="O13" s="66">
        <v>10.318908998296999</v>
      </c>
      <c r="P13" s="66">
        <v>14.237566886182901</v>
      </c>
      <c r="Q13" s="66">
        <v>14.237566886182901</v>
      </c>
      <c r="R13" s="66">
        <v>14.237566886182901</v>
      </c>
      <c r="S13" s="66">
        <v>15.2333251937778</v>
      </c>
      <c r="T13" s="66">
        <v>15.2333251937778</v>
      </c>
      <c r="U13" s="66">
        <v>15.2333251937778</v>
      </c>
    </row>
    <row r="14" spans="1:21">
      <c r="A14" s="43" t="s">
        <v>58</v>
      </c>
      <c r="B14" s="66">
        <v>13.9043968265026</v>
      </c>
      <c r="C14" s="66">
        <v>13.9043968265026</v>
      </c>
      <c r="D14" s="66">
        <v>13.9043968265026</v>
      </c>
      <c r="E14" s="66">
        <v>11.1817313313111</v>
      </c>
      <c r="F14" s="66">
        <v>11.1817313313111</v>
      </c>
      <c r="G14" s="66">
        <v>11.1817313313111</v>
      </c>
      <c r="H14" s="66">
        <v>7.3174057225860603</v>
      </c>
      <c r="I14" s="66">
        <v>8.56826987255908</v>
      </c>
      <c r="J14" s="66">
        <v>8.0131948204051309</v>
      </c>
      <c r="K14" s="66">
        <v>4.6475764490910896</v>
      </c>
      <c r="L14" s="66">
        <v>4.6475764490910896</v>
      </c>
      <c r="M14" s="66">
        <v>4.6516597579440804</v>
      </c>
      <c r="N14" s="66">
        <v>6.4869112843370802</v>
      </c>
      <c r="O14" s="66">
        <v>10.318908998296999</v>
      </c>
      <c r="P14" s="66">
        <v>14.237566886182901</v>
      </c>
      <c r="Q14" s="66">
        <v>14.237566886182901</v>
      </c>
      <c r="R14" s="66">
        <v>14.237566886182901</v>
      </c>
      <c r="S14" s="66">
        <v>15.2333251937778</v>
      </c>
      <c r="T14" s="66">
        <v>15.2333251937778</v>
      </c>
      <c r="U14" s="66">
        <v>15.2333251937778</v>
      </c>
    </row>
    <row r="15" spans="1:21">
      <c r="A15" s="43" t="s">
        <v>59</v>
      </c>
      <c r="B15" s="66">
        <v>13.9043968265026</v>
      </c>
      <c r="C15" s="66">
        <v>13.9043968265026</v>
      </c>
      <c r="D15" s="66">
        <v>13.9043968265026</v>
      </c>
      <c r="E15" s="66">
        <v>11.1817313313111</v>
      </c>
      <c r="F15" s="66">
        <v>11.1817313313111</v>
      </c>
      <c r="G15" s="66">
        <v>11.1817313313111</v>
      </c>
      <c r="H15" s="66">
        <v>7.3174057225860603</v>
      </c>
      <c r="I15" s="66">
        <v>8.56826987255908</v>
      </c>
      <c r="J15" s="66">
        <v>8.0131948204051309</v>
      </c>
      <c r="K15" s="66">
        <v>4.6475764490910896</v>
      </c>
      <c r="L15" s="66">
        <v>4.6475764490910896</v>
      </c>
      <c r="M15" s="66">
        <v>4.6516597579440804</v>
      </c>
      <c r="N15" s="66">
        <v>6.4869112843370802</v>
      </c>
      <c r="O15" s="66">
        <v>10.318908998296999</v>
      </c>
      <c r="P15" s="66">
        <v>14.237566886182901</v>
      </c>
      <c r="Q15" s="66">
        <v>14.237566886182901</v>
      </c>
      <c r="R15" s="66">
        <v>14.237566886182901</v>
      </c>
      <c r="S15" s="66">
        <v>15.2333251937778</v>
      </c>
      <c r="T15" s="66">
        <v>15.2333251937778</v>
      </c>
      <c r="U15" s="66">
        <v>15.2333251937778</v>
      </c>
    </row>
    <row r="16" spans="1:21">
      <c r="A16" s="43" t="s">
        <v>60</v>
      </c>
      <c r="B16" s="66">
        <v>13.9043968265026</v>
      </c>
      <c r="C16" s="66">
        <v>13.9043968265026</v>
      </c>
      <c r="D16" s="66">
        <v>13.9043968265026</v>
      </c>
      <c r="E16" s="66">
        <v>11.1817313313111</v>
      </c>
      <c r="F16" s="66">
        <v>11.1817313313111</v>
      </c>
      <c r="G16" s="66">
        <v>11.1817313313111</v>
      </c>
      <c r="H16" s="66">
        <v>7.3174057225860603</v>
      </c>
      <c r="I16" s="66">
        <v>8.56826987255908</v>
      </c>
      <c r="J16" s="66">
        <v>8.0131948204051309</v>
      </c>
      <c r="K16" s="66">
        <v>4.6475764490910896</v>
      </c>
      <c r="L16" s="66">
        <v>4.6475764490910896</v>
      </c>
      <c r="M16" s="66">
        <v>4.6516597579440804</v>
      </c>
      <c r="N16" s="66">
        <v>6.4869112843370802</v>
      </c>
      <c r="O16" s="66">
        <v>10.318908998296999</v>
      </c>
      <c r="P16" s="66">
        <v>14.237566886182901</v>
      </c>
      <c r="Q16" s="66">
        <v>14.237566886182901</v>
      </c>
      <c r="R16" s="66">
        <v>14.237566886182901</v>
      </c>
      <c r="S16" s="66">
        <v>15.2333251937778</v>
      </c>
      <c r="T16" s="66">
        <v>15.2333251937778</v>
      </c>
      <c r="U16" s="66">
        <v>15.2333251937778</v>
      </c>
    </row>
    <row r="17" spans="1:21">
      <c r="A17" s="43" t="s">
        <v>61</v>
      </c>
      <c r="B17" s="66">
        <v>13.9043968265026</v>
      </c>
      <c r="C17" s="66">
        <v>13.9043968265026</v>
      </c>
      <c r="D17" s="66">
        <v>13.9043968265026</v>
      </c>
      <c r="E17" s="66">
        <v>11.1817313313111</v>
      </c>
      <c r="F17" s="66">
        <v>11.1817313313111</v>
      </c>
      <c r="G17" s="66">
        <v>11.1817313313111</v>
      </c>
      <c r="H17" s="66">
        <v>7.3174057225860603</v>
      </c>
      <c r="I17" s="66">
        <v>8.56826987255908</v>
      </c>
      <c r="J17" s="66">
        <v>8.0131948204051309</v>
      </c>
      <c r="K17" s="66">
        <v>4.6475764490910896</v>
      </c>
      <c r="L17" s="66">
        <v>4.6475764490910896</v>
      </c>
      <c r="M17" s="66">
        <v>4.6516597579440804</v>
      </c>
      <c r="N17" s="66">
        <v>6.4869112843370802</v>
      </c>
      <c r="O17" s="66">
        <v>10.318908998296999</v>
      </c>
      <c r="P17" s="66">
        <v>14.237566886182901</v>
      </c>
      <c r="Q17" s="66">
        <v>14.237566886182901</v>
      </c>
      <c r="R17" s="66">
        <v>14.237566886182901</v>
      </c>
      <c r="S17" s="66">
        <v>15.2333251937778</v>
      </c>
      <c r="T17" s="66">
        <v>15.2333251937778</v>
      </c>
      <c r="U17" s="66">
        <v>15.2333251937778</v>
      </c>
    </row>
    <row r="18" spans="1:21">
      <c r="A18" s="43" t="s">
        <v>62</v>
      </c>
      <c r="B18" s="66">
        <v>13.9043968265026</v>
      </c>
      <c r="C18" s="66">
        <v>13.9043968265026</v>
      </c>
      <c r="D18" s="66">
        <v>13.9043968265026</v>
      </c>
      <c r="E18" s="66">
        <v>11.1817313313111</v>
      </c>
      <c r="F18" s="66">
        <v>11.1817313313111</v>
      </c>
      <c r="G18" s="66">
        <v>11.1817313313111</v>
      </c>
      <c r="H18" s="66">
        <v>7.3174057225860603</v>
      </c>
      <c r="I18" s="66">
        <v>8.56826987255908</v>
      </c>
      <c r="J18" s="66">
        <v>8.0131948204051309</v>
      </c>
      <c r="K18" s="66">
        <v>4.6475764490910896</v>
      </c>
      <c r="L18" s="66">
        <v>4.6475764490910896</v>
      </c>
      <c r="M18" s="66">
        <v>4.6516597579440804</v>
      </c>
      <c r="N18" s="66">
        <v>6.4869112843370802</v>
      </c>
      <c r="O18" s="66">
        <v>10.318908998296999</v>
      </c>
      <c r="P18" s="66">
        <v>14.237566886182901</v>
      </c>
      <c r="Q18" s="66">
        <v>14.237566886182901</v>
      </c>
      <c r="R18" s="66">
        <v>14.237566886182901</v>
      </c>
      <c r="S18" s="66">
        <v>15.2333251937778</v>
      </c>
      <c r="T18" s="66">
        <v>15.2333251937778</v>
      </c>
      <c r="U18" s="66">
        <v>15.2333251937778</v>
      </c>
    </row>
    <row r="19" spans="1:21">
      <c r="A19" s="43" t="s">
        <v>63</v>
      </c>
      <c r="B19" s="66">
        <v>13.9043968265026</v>
      </c>
      <c r="C19" s="66">
        <v>13.9043968265026</v>
      </c>
      <c r="D19" s="66">
        <v>13.9043968265026</v>
      </c>
      <c r="E19" s="66">
        <v>11.1817313313111</v>
      </c>
      <c r="F19" s="66">
        <v>11.1817313313111</v>
      </c>
      <c r="G19" s="66">
        <v>11.1817313313111</v>
      </c>
      <c r="H19" s="66">
        <v>7.3174057225860603</v>
      </c>
      <c r="I19" s="66">
        <v>8.56826987255908</v>
      </c>
      <c r="J19" s="66">
        <v>8.0131948204051309</v>
      </c>
      <c r="K19" s="66">
        <v>4.6475764490910896</v>
      </c>
      <c r="L19" s="66">
        <v>4.6475764490910896</v>
      </c>
      <c r="M19" s="66">
        <v>4.6516597579440804</v>
      </c>
      <c r="N19" s="66">
        <v>6.4869112843370802</v>
      </c>
      <c r="O19" s="66">
        <v>10.318908998296999</v>
      </c>
      <c r="P19" s="66">
        <v>14.237566886182901</v>
      </c>
      <c r="Q19" s="66">
        <v>14.237566886182901</v>
      </c>
      <c r="R19" s="66">
        <v>14.237566886182901</v>
      </c>
      <c r="S19" s="66">
        <v>15.2333251937778</v>
      </c>
      <c r="T19" s="66">
        <v>15.2333251937778</v>
      </c>
      <c r="U19" s="66">
        <v>15.2333251937778</v>
      </c>
    </row>
    <row r="20" spans="1:21">
      <c r="A20" s="43" t="s">
        <v>64</v>
      </c>
      <c r="B20" s="66">
        <v>13.9043968265026</v>
      </c>
      <c r="C20" s="66">
        <v>13.9043968265026</v>
      </c>
      <c r="D20" s="66">
        <v>13.9043968265026</v>
      </c>
      <c r="E20" s="66">
        <v>11.1817313313111</v>
      </c>
      <c r="F20" s="66">
        <v>11.1817313313111</v>
      </c>
      <c r="G20" s="66">
        <v>11.1817313313111</v>
      </c>
      <c r="H20" s="66">
        <v>7.3174057225860603</v>
      </c>
      <c r="I20" s="66">
        <v>8.56826987255908</v>
      </c>
      <c r="J20" s="66">
        <v>8.0131948204051309</v>
      </c>
      <c r="K20" s="66">
        <v>4.6475764490910896</v>
      </c>
      <c r="L20" s="66">
        <v>4.6475764490910896</v>
      </c>
      <c r="M20" s="66">
        <v>4.6516597579440804</v>
      </c>
      <c r="N20" s="66">
        <v>6.4869112843370802</v>
      </c>
      <c r="O20" s="66">
        <v>10.318908998296999</v>
      </c>
      <c r="P20" s="66">
        <v>14.237566886182901</v>
      </c>
      <c r="Q20" s="66">
        <v>14.237566886182901</v>
      </c>
      <c r="R20" s="66">
        <v>14.237566886182901</v>
      </c>
      <c r="S20" s="66">
        <v>15.2333251937778</v>
      </c>
      <c r="T20" s="66">
        <v>15.2333251937778</v>
      </c>
      <c r="U20" s="66">
        <v>15.2333251937778</v>
      </c>
    </row>
    <row r="21" spans="1:21">
      <c r="A21" s="43" t="s">
        <v>65</v>
      </c>
      <c r="B21" s="66">
        <v>13.9043968265026</v>
      </c>
      <c r="C21" s="66">
        <v>13.9043968265026</v>
      </c>
      <c r="D21" s="66">
        <v>13.9043968265026</v>
      </c>
      <c r="E21" s="66">
        <v>11.1817313313111</v>
      </c>
      <c r="F21" s="66">
        <v>11.1817313313111</v>
      </c>
      <c r="G21" s="66">
        <v>11.1817313313111</v>
      </c>
      <c r="H21" s="66">
        <v>7.3174057225860603</v>
      </c>
      <c r="I21" s="66">
        <v>8.56826987255908</v>
      </c>
      <c r="J21" s="66">
        <v>8.0131948204051309</v>
      </c>
      <c r="K21" s="66">
        <v>4.6475764490910896</v>
      </c>
      <c r="L21" s="66">
        <v>4.6475764490910896</v>
      </c>
      <c r="M21" s="66">
        <v>4.6516597579440804</v>
      </c>
      <c r="N21" s="66">
        <v>6.4869112843370802</v>
      </c>
      <c r="O21" s="66">
        <v>10.318908998296999</v>
      </c>
      <c r="P21" s="66">
        <v>14.237566886182901</v>
      </c>
      <c r="Q21" s="66">
        <v>14.237566886182901</v>
      </c>
      <c r="R21" s="66">
        <v>14.237566886182901</v>
      </c>
      <c r="S21" s="66">
        <v>15.2333251937778</v>
      </c>
      <c r="T21" s="66">
        <v>15.2333251937778</v>
      </c>
      <c r="U21" s="66">
        <v>15.2333251937778</v>
      </c>
    </row>
    <row r="22" spans="1:21">
      <c r="A22" s="43" t="s">
        <v>20</v>
      </c>
      <c r="B22" s="66">
        <v>13.9043968265026</v>
      </c>
      <c r="C22" s="66">
        <v>13.9043968265026</v>
      </c>
      <c r="D22" s="66">
        <v>13.9043968265026</v>
      </c>
      <c r="E22" s="66">
        <v>11.1817313313111</v>
      </c>
      <c r="F22" s="66">
        <v>11.1817313313111</v>
      </c>
      <c r="G22" s="66">
        <v>11.1817313313111</v>
      </c>
      <c r="H22" s="66">
        <v>7.3174057225860603</v>
      </c>
      <c r="I22" s="66">
        <v>8.56826987255908</v>
      </c>
      <c r="J22" s="66">
        <v>8.0131948204051309</v>
      </c>
      <c r="K22" s="66">
        <v>4.6475764490910896</v>
      </c>
      <c r="L22" s="66">
        <v>4.6475764490910896</v>
      </c>
      <c r="M22" s="66">
        <v>4.6516597579440804</v>
      </c>
      <c r="N22" s="66">
        <v>6.4869112843370802</v>
      </c>
      <c r="O22" s="66">
        <v>10.318908998296999</v>
      </c>
      <c r="P22" s="66">
        <v>14.237566886182901</v>
      </c>
      <c r="Q22" s="66">
        <v>14.237566886182901</v>
      </c>
      <c r="R22" s="66">
        <v>14.237566886182901</v>
      </c>
      <c r="S22" s="66">
        <v>15.2333251937778</v>
      </c>
      <c r="T22" s="66">
        <v>15.2333251937778</v>
      </c>
      <c r="U22" s="66">
        <v>15.2333251937778</v>
      </c>
    </row>
    <row r="23" spans="1:21">
      <c r="A23" s="43" t="s">
        <v>21</v>
      </c>
      <c r="B23" s="66">
        <v>13.9043968265026</v>
      </c>
      <c r="C23" s="66">
        <v>13.9043968265026</v>
      </c>
      <c r="D23" s="66">
        <v>13.9043968265026</v>
      </c>
      <c r="E23" s="66">
        <v>11.1817313313111</v>
      </c>
      <c r="F23" s="66">
        <v>11.1817313313111</v>
      </c>
      <c r="G23" s="66">
        <v>11.1817313313111</v>
      </c>
      <c r="H23" s="66">
        <v>7.3174057225860603</v>
      </c>
      <c r="I23" s="66">
        <v>8.56826987255908</v>
      </c>
      <c r="J23" s="66">
        <v>8.0131948204051309</v>
      </c>
      <c r="K23" s="66">
        <v>4.6475764490910896</v>
      </c>
      <c r="L23" s="66">
        <v>4.6475764490910896</v>
      </c>
      <c r="M23" s="66">
        <v>4.6516597579440804</v>
      </c>
      <c r="N23" s="66">
        <v>6.4869112843370802</v>
      </c>
      <c r="O23" s="66">
        <v>10.318908998296999</v>
      </c>
      <c r="P23" s="66">
        <v>14.237566886182901</v>
      </c>
      <c r="Q23" s="66">
        <v>14.237566886182901</v>
      </c>
      <c r="R23" s="66">
        <v>14.237566886182901</v>
      </c>
      <c r="S23" s="66">
        <v>15.2333251937778</v>
      </c>
      <c r="T23" s="66">
        <v>15.2333251937778</v>
      </c>
      <c r="U23" s="66">
        <v>15.2333251937778</v>
      </c>
    </row>
    <row r="24" spans="1:21">
      <c r="A24" s="43" t="s">
        <v>22</v>
      </c>
      <c r="B24" s="66">
        <v>13.9043968265026</v>
      </c>
      <c r="C24" s="66">
        <v>13.9043968265026</v>
      </c>
      <c r="D24" s="66">
        <v>13.9043968265026</v>
      </c>
      <c r="E24" s="66">
        <v>11.1817313313111</v>
      </c>
      <c r="F24" s="66">
        <v>11.1817313313111</v>
      </c>
      <c r="G24" s="66">
        <v>11.1817313313111</v>
      </c>
      <c r="H24" s="66">
        <v>7.3174057225860603</v>
      </c>
      <c r="I24" s="66">
        <v>8.56826987255908</v>
      </c>
      <c r="J24" s="66">
        <v>8.0131948204051309</v>
      </c>
      <c r="K24" s="66">
        <v>4.6475764490910896</v>
      </c>
      <c r="L24" s="66">
        <v>4.6475764490910896</v>
      </c>
      <c r="M24" s="66">
        <v>4.6516597579440804</v>
      </c>
      <c r="N24" s="66">
        <v>6.4869112843370802</v>
      </c>
      <c r="O24" s="66">
        <v>10.318908998296999</v>
      </c>
      <c r="P24" s="66">
        <v>14.237566886182901</v>
      </c>
      <c r="Q24" s="66">
        <v>14.237566886182901</v>
      </c>
      <c r="R24" s="66">
        <v>14.237566886182901</v>
      </c>
      <c r="S24" s="66">
        <v>15.2333251937778</v>
      </c>
      <c r="T24" s="66">
        <v>15.2333251937778</v>
      </c>
      <c r="U24" s="66">
        <v>15.2333251937778</v>
      </c>
    </row>
    <row r="25" spans="1:21">
      <c r="A25" s="43" t="s">
        <v>23</v>
      </c>
      <c r="B25" s="66">
        <v>13.9043968265026</v>
      </c>
      <c r="C25" s="66">
        <v>13.9043968265026</v>
      </c>
      <c r="D25" s="66">
        <v>13.9043968265026</v>
      </c>
      <c r="E25" s="66">
        <v>11.1817313313111</v>
      </c>
      <c r="F25" s="66">
        <v>11.1817313313111</v>
      </c>
      <c r="G25" s="66">
        <v>11.1817313313111</v>
      </c>
      <c r="H25" s="66">
        <v>7.3174057225860603</v>
      </c>
      <c r="I25" s="66">
        <v>8.56826987255908</v>
      </c>
      <c r="J25" s="66">
        <v>8.0131948204051309</v>
      </c>
      <c r="K25" s="66">
        <v>4.6475764490910896</v>
      </c>
      <c r="L25" s="66">
        <v>4.6475764490910896</v>
      </c>
      <c r="M25" s="66">
        <v>4.6516597579440804</v>
      </c>
      <c r="N25" s="66">
        <v>6.4869112843370802</v>
      </c>
      <c r="O25" s="66">
        <v>10.318908998296999</v>
      </c>
      <c r="P25" s="66">
        <v>14.237566886182901</v>
      </c>
      <c r="Q25" s="66">
        <v>14.237566886182901</v>
      </c>
      <c r="R25" s="66">
        <v>14.237566886182901</v>
      </c>
      <c r="S25" s="66">
        <v>15.2333251937778</v>
      </c>
      <c r="T25" s="66">
        <v>15.2333251937778</v>
      </c>
      <c r="U25" s="66">
        <v>15.2333251937778</v>
      </c>
    </row>
    <row r="26" spans="1:21">
      <c r="A26" s="43" t="s">
        <v>24</v>
      </c>
      <c r="B26" s="66">
        <v>13.9043968265026</v>
      </c>
      <c r="C26" s="66">
        <v>13.9043968265026</v>
      </c>
      <c r="D26" s="66">
        <v>13.9043968265026</v>
      </c>
      <c r="E26" s="66">
        <v>11.1817313313111</v>
      </c>
      <c r="F26" s="66">
        <v>11.1817313313111</v>
      </c>
      <c r="G26" s="66">
        <v>11.1817313313111</v>
      </c>
      <c r="H26" s="66">
        <v>7.3174057225860603</v>
      </c>
      <c r="I26" s="66">
        <v>8.56826987255908</v>
      </c>
      <c r="J26" s="66">
        <v>8.0131948204051309</v>
      </c>
      <c r="K26" s="66">
        <v>4.6475764490910896</v>
      </c>
      <c r="L26" s="66">
        <v>4.6475764490910896</v>
      </c>
      <c r="M26" s="66">
        <v>4.6516597579440804</v>
      </c>
      <c r="N26" s="66">
        <v>6.4869112843370802</v>
      </c>
      <c r="O26" s="66">
        <v>10.318908998296999</v>
      </c>
      <c r="P26" s="66">
        <v>14.237566886182901</v>
      </c>
      <c r="Q26" s="66">
        <v>14.237566886182901</v>
      </c>
      <c r="R26" s="66">
        <v>14.237566886182901</v>
      </c>
      <c r="S26" s="66">
        <v>15.2333251937778</v>
      </c>
      <c r="T26" s="66">
        <v>15.2333251937778</v>
      </c>
      <c r="U26" s="66">
        <v>15.2333251937778</v>
      </c>
    </row>
    <row r="27" spans="1:21">
      <c r="A27" s="43" t="s">
        <v>25</v>
      </c>
      <c r="B27" s="66">
        <v>13.9043968265026</v>
      </c>
      <c r="C27" s="66">
        <v>13.9043968265026</v>
      </c>
      <c r="D27" s="66">
        <v>13.9043968265026</v>
      </c>
      <c r="E27" s="66">
        <v>11.1817313313111</v>
      </c>
      <c r="F27" s="66">
        <v>11.1817313313111</v>
      </c>
      <c r="G27" s="66">
        <v>11.1817313313111</v>
      </c>
      <c r="H27" s="66">
        <v>7.3174057225860603</v>
      </c>
      <c r="I27" s="66">
        <v>8.56826987255908</v>
      </c>
      <c r="J27" s="66">
        <v>8.0131948204051309</v>
      </c>
      <c r="K27" s="66">
        <v>4.6475764490910896</v>
      </c>
      <c r="L27" s="66">
        <v>4.6475764490910896</v>
      </c>
      <c r="M27" s="66">
        <v>4.6516597579440804</v>
      </c>
      <c r="N27" s="66">
        <v>6.4869112843370802</v>
      </c>
      <c r="O27" s="66">
        <v>10.318908998296999</v>
      </c>
      <c r="P27" s="66">
        <v>14.237566886182901</v>
      </c>
      <c r="Q27" s="66">
        <v>14.237566886182901</v>
      </c>
      <c r="R27" s="66">
        <v>14.237566886182901</v>
      </c>
      <c r="S27" s="66">
        <v>15.2333251937778</v>
      </c>
      <c r="T27" s="66">
        <v>15.2333251937778</v>
      </c>
      <c r="U27" s="66">
        <v>15.2333251937778</v>
      </c>
    </row>
    <row r="28" spans="1:21">
      <c r="A28" s="43" t="s">
        <v>26</v>
      </c>
      <c r="B28" s="66">
        <v>13.9043968265026</v>
      </c>
      <c r="C28" s="66">
        <v>13.9043968265026</v>
      </c>
      <c r="D28" s="66">
        <v>13.9043968265026</v>
      </c>
      <c r="E28" s="66">
        <v>11.1817313313111</v>
      </c>
      <c r="F28" s="66">
        <v>11.1817313313111</v>
      </c>
      <c r="G28" s="66">
        <v>11.1817313313111</v>
      </c>
      <c r="H28" s="66">
        <v>7.3174057225860603</v>
      </c>
      <c r="I28" s="66">
        <v>8.56826987255908</v>
      </c>
      <c r="J28" s="66">
        <v>8.0131948204051309</v>
      </c>
      <c r="K28" s="66">
        <v>4.6475764490910896</v>
      </c>
      <c r="L28" s="66">
        <v>4.6475764490910896</v>
      </c>
      <c r="M28" s="66">
        <v>4.6516597579440804</v>
      </c>
      <c r="N28" s="66">
        <v>6.4869112843370802</v>
      </c>
      <c r="O28" s="66">
        <v>10.318908998296999</v>
      </c>
      <c r="P28" s="66">
        <v>14.237566886182901</v>
      </c>
      <c r="Q28" s="66">
        <v>14.237566886182901</v>
      </c>
      <c r="R28" s="66">
        <v>14.237566886182901</v>
      </c>
      <c r="S28" s="66">
        <v>15.2333251937778</v>
      </c>
      <c r="T28" s="66">
        <v>15.2333251937778</v>
      </c>
      <c r="U28" s="66">
        <v>15.2333251937778</v>
      </c>
    </row>
    <row r="29" spans="1:21">
      <c r="A29" s="43" t="s">
        <v>27</v>
      </c>
      <c r="B29" s="66">
        <v>13.9043968265026</v>
      </c>
      <c r="C29" s="66">
        <v>13.9043968265026</v>
      </c>
      <c r="D29" s="66">
        <v>13.9043968265026</v>
      </c>
      <c r="E29" s="66">
        <v>11.1817313313111</v>
      </c>
      <c r="F29" s="66">
        <v>11.1817313313111</v>
      </c>
      <c r="G29" s="66">
        <v>11.1817313313111</v>
      </c>
      <c r="H29" s="66">
        <v>7.3174057225860603</v>
      </c>
      <c r="I29" s="66">
        <v>8.56826987255908</v>
      </c>
      <c r="J29" s="66">
        <v>8.0131948204051309</v>
      </c>
      <c r="K29" s="66">
        <v>4.6475764490910896</v>
      </c>
      <c r="L29" s="66">
        <v>4.6475764490910896</v>
      </c>
      <c r="M29" s="66">
        <v>4.6516597579440804</v>
      </c>
      <c r="N29" s="66">
        <v>6.4869112843370802</v>
      </c>
      <c r="O29" s="66">
        <v>10.318908998296999</v>
      </c>
      <c r="P29" s="66">
        <v>14.237566886182901</v>
      </c>
      <c r="Q29" s="66">
        <v>14.237566886182901</v>
      </c>
      <c r="R29" s="66">
        <v>14.237566886182901</v>
      </c>
      <c r="S29" s="66">
        <v>15.2333251937778</v>
      </c>
      <c r="T29" s="66">
        <v>15.2333251937778</v>
      </c>
      <c r="U29" s="66">
        <v>15.2333251937778</v>
      </c>
    </row>
    <row r="30" spans="1:21">
      <c r="A30" s="43" t="s">
        <v>28</v>
      </c>
      <c r="B30" s="66">
        <v>13.9043968265026</v>
      </c>
      <c r="C30" s="66">
        <v>13.9043968265026</v>
      </c>
      <c r="D30" s="66">
        <v>13.9043968265026</v>
      </c>
      <c r="E30" s="66">
        <v>11.1817313313111</v>
      </c>
      <c r="F30" s="66">
        <v>11.1817313313111</v>
      </c>
      <c r="G30" s="66">
        <v>11.1817313313111</v>
      </c>
      <c r="H30" s="66">
        <v>7.3174057225860603</v>
      </c>
      <c r="I30" s="66">
        <v>8.56826987255908</v>
      </c>
      <c r="J30" s="66">
        <v>8.0131948204051309</v>
      </c>
      <c r="K30" s="66">
        <v>4.6475764490910896</v>
      </c>
      <c r="L30" s="66">
        <v>4.6475764490910896</v>
      </c>
      <c r="M30" s="66">
        <v>4.6516597579440804</v>
      </c>
      <c r="N30" s="66">
        <v>6.4869112843370802</v>
      </c>
      <c r="O30" s="66">
        <v>10.318908998296999</v>
      </c>
      <c r="P30" s="66">
        <v>14.237566886182901</v>
      </c>
      <c r="Q30" s="66">
        <v>14.237566886182901</v>
      </c>
      <c r="R30" s="66">
        <v>14.237566886182901</v>
      </c>
      <c r="S30" s="66">
        <v>15.2333251937778</v>
      </c>
      <c r="T30" s="66">
        <v>15.2333251937778</v>
      </c>
      <c r="U30" s="66">
        <v>15.2333251937778</v>
      </c>
    </row>
    <row r="31" spans="1:21">
      <c r="A31" s="43" t="s">
        <v>29</v>
      </c>
      <c r="B31" s="66">
        <v>13.9043968265026</v>
      </c>
      <c r="C31" s="66">
        <v>13.9043968265026</v>
      </c>
      <c r="D31" s="66">
        <v>13.9043968265026</v>
      </c>
      <c r="E31" s="66">
        <v>11.1817313313111</v>
      </c>
      <c r="F31" s="66">
        <v>11.1817313313111</v>
      </c>
      <c r="G31" s="66">
        <v>11.1817313313111</v>
      </c>
      <c r="H31" s="66">
        <v>7.3174057225860603</v>
      </c>
      <c r="I31" s="66">
        <v>8.56826987255908</v>
      </c>
      <c r="J31" s="66">
        <v>8.0131948204051309</v>
      </c>
      <c r="K31" s="66">
        <v>4.6475764490910896</v>
      </c>
      <c r="L31" s="66">
        <v>4.6475764490910896</v>
      </c>
      <c r="M31" s="66">
        <v>4.6516597579440804</v>
      </c>
      <c r="N31" s="66">
        <v>6.4869112843370802</v>
      </c>
      <c r="O31" s="66">
        <v>10.318908998296999</v>
      </c>
      <c r="P31" s="66">
        <v>14.237566886182901</v>
      </c>
      <c r="Q31" s="66">
        <v>14.237566886182901</v>
      </c>
      <c r="R31" s="66">
        <v>14.237566886182901</v>
      </c>
      <c r="S31" s="66">
        <v>15.2333251937778</v>
      </c>
      <c r="T31" s="66">
        <v>15.2333251937778</v>
      </c>
      <c r="U31" s="66">
        <v>15.2333251937778</v>
      </c>
    </row>
    <row r="32" spans="1:21">
      <c r="A32" s="43" t="s">
        <v>30</v>
      </c>
      <c r="B32" s="66">
        <v>13.9043968265026</v>
      </c>
      <c r="C32" s="66">
        <v>13.9043968265026</v>
      </c>
      <c r="D32" s="66">
        <v>13.9043968265026</v>
      </c>
      <c r="E32" s="66">
        <v>11.1817313313111</v>
      </c>
      <c r="F32" s="66">
        <v>11.1817313313111</v>
      </c>
      <c r="G32" s="66">
        <v>11.1817313313111</v>
      </c>
      <c r="H32" s="66">
        <v>7.3174057225860603</v>
      </c>
      <c r="I32" s="66">
        <v>8.56826987255908</v>
      </c>
      <c r="J32" s="66">
        <v>8.0131948204051309</v>
      </c>
      <c r="K32" s="66">
        <v>4.6475764490910896</v>
      </c>
      <c r="L32" s="66">
        <v>4.6475764490910896</v>
      </c>
      <c r="M32" s="66">
        <v>4.6516597579440804</v>
      </c>
      <c r="N32" s="66">
        <v>6.4869112843370802</v>
      </c>
      <c r="O32" s="66">
        <v>10.318908998296999</v>
      </c>
      <c r="P32" s="66">
        <v>14.237566886182901</v>
      </c>
      <c r="Q32" s="66">
        <v>14.237566886182901</v>
      </c>
      <c r="R32" s="66">
        <v>14.237566886182901</v>
      </c>
      <c r="S32" s="66">
        <v>15.2333251937778</v>
      </c>
      <c r="T32" s="66">
        <v>15.2333251937778</v>
      </c>
      <c r="U32" s="66">
        <v>15.2333251937778</v>
      </c>
    </row>
    <row r="33" spans="1:21">
      <c r="A33" s="43" t="s">
        <v>31</v>
      </c>
      <c r="B33" s="66">
        <v>13.9043968265026</v>
      </c>
      <c r="C33" s="66">
        <v>13.9043968265026</v>
      </c>
      <c r="D33" s="66">
        <v>13.9043968265026</v>
      </c>
      <c r="E33" s="66">
        <v>11.1817313313111</v>
      </c>
      <c r="F33" s="66">
        <v>11.1817313313111</v>
      </c>
      <c r="G33" s="66">
        <v>11.1817313313111</v>
      </c>
      <c r="H33" s="66">
        <v>7.3174057225860603</v>
      </c>
      <c r="I33" s="66">
        <v>8.56826987255908</v>
      </c>
      <c r="J33" s="66">
        <v>8.0131948204051309</v>
      </c>
      <c r="K33" s="66">
        <v>4.6475764490910896</v>
      </c>
      <c r="L33" s="66">
        <v>4.6475764490910896</v>
      </c>
      <c r="M33" s="66">
        <v>4.6516597579440804</v>
      </c>
      <c r="N33" s="66">
        <v>6.4869112843370802</v>
      </c>
      <c r="O33" s="66">
        <v>10.318908998296999</v>
      </c>
      <c r="P33" s="66">
        <v>14.237566886182901</v>
      </c>
      <c r="Q33" s="66">
        <v>14.237566886182901</v>
      </c>
      <c r="R33" s="66">
        <v>14.237566886182901</v>
      </c>
      <c r="S33" s="66">
        <v>15.2333251937778</v>
      </c>
      <c r="T33" s="66">
        <v>15.2333251937778</v>
      </c>
      <c r="U33" s="66">
        <v>15.2333251937778</v>
      </c>
    </row>
    <row r="34" spans="1:21">
      <c r="A34" s="43" t="s">
        <v>32</v>
      </c>
      <c r="B34" s="66">
        <v>13.9043968265026</v>
      </c>
      <c r="C34" s="66">
        <v>13.9043968265026</v>
      </c>
      <c r="D34" s="66">
        <v>13.9043968265026</v>
      </c>
      <c r="E34" s="66">
        <v>11.1817313313111</v>
      </c>
      <c r="F34" s="66">
        <v>11.1817313313111</v>
      </c>
      <c r="G34" s="66">
        <v>11.1817313313111</v>
      </c>
      <c r="H34" s="66">
        <v>7.3174057225860603</v>
      </c>
      <c r="I34" s="66">
        <v>8.56826987255908</v>
      </c>
      <c r="J34" s="66">
        <v>8.0131948204051309</v>
      </c>
      <c r="K34" s="66">
        <v>4.6475764490910896</v>
      </c>
      <c r="L34" s="66">
        <v>4.6475764490910896</v>
      </c>
      <c r="M34" s="66">
        <v>4.6516597579440804</v>
      </c>
      <c r="N34" s="66">
        <v>6.4869112843370802</v>
      </c>
      <c r="O34" s="66">
        <v>10.318908998296999</v>
      </c>
      <c r="P34" s="66">
        <v>14.237566886182901</v>
      </c>
      <c r="Q34" s="66">
        <v>14.237566886182901</v>
      </c>
      <c r="R34" s="66">
        <v>14.237566886182901</v>
      </c>
      <c r="S34" s="66">
        <v>15.2333251937778</v>
      </c>
      <c r="T34" s="66">
        <v>15.2333251937778</v>
      </c>
      <c r="U34" s="66">
        <v>15.2333251937778</v>
      </c>
    </row>
    <row r="35" spans="1:21">
      <c r="A35" s="43" t="s">
        <v>33</v>
      </c>
      <c r="B35" s="66">
        <v>13.9043968265026</v>
      </c>
      <c r="C35" s="66">
        <v>13.9043968265026</v>
      </c>
      <c r="D35" s="66">
        <v>13.9043968265026</v>
      </c>
      <c r="E35" s="66">
        <v>11.1817313313111</v>
      </c>
      <c r="F35" s="66">
        <v>11.1817313313111</v>
      </c>
      <c r="G35" s="66">
        <v>11.1817313313111</v>
      </c>
      <c r="H35" s="66">
        <v>7.3174057225860603</v>
      </c>
      <c r="I35" s="66">
        <v>8.56826987255908</v>
      </c>
      <c r="J35" s="66">
        <v>8.0131948204051309</v>
      </c>
      <c r="K35" s="66">
        <v>4.6475764490910896</v>
      </c>
      <c r="L35" s="66">
        <v>4.6475764490910896</v>
      </c>
      <c r="M35" s="66">
        <v>4.6516597579440804</v>
      </c>
      <c r="N35" s="66">
        <v>6.4869112843370802</v>
      </c>
      <c r="O35" s="66">
        <v>10.318908998296999</v>
      </c>
      <c r="P35" s="66">
        <v>14.237566886182901</v>
      </c>
      <c r="Q35" s="66">
        <v>14.237566886182901</v>
      </c>
      <c r="R35" s="66">
        <v>14.237566886182901</v>
      </c>
      <c r="S35" s="66">
        <v>15.2333251937778</v>
      </c>
      <c r="T35" s="66">
        <v>15.2333251937778</v>
      </c>
      <c r="U35" s="66">
        <v>15.2333251937778</v>
      </c>
    </row>
    <row r="36" spans="1:21">
      <c r="A36" s="43" t="s">
        <v>34</v>
      </c>
      <c r="B36" s="66">
        <v>13.9043968265026</v>
      </c>
      <c r="C36" s="66">
        <v>13.9043968265026</v>
      </c>
      <c r="D36" s="66">
        <v>13.9043968265026</v>
      </c>
      <c r="E36" s="66">
        <v>11.1817313313111</v>
      </c>
      <c r="F36" s="66">
        <v>11.1817313313111</v>
      </c>
      <c r="G36" s="66">
        <v>11.1817313313111</v>
      </c>
      <c r="H36" s="66">
        <v>7.3174057225860603</v>
      </c>
      <c r="I36" s="66">
        <v>8.56826987255908</v>
      </c>
      <c r="J36" s="66">
        <v>8.0131948204051309</v>
      </c>
      <c r="K36" s="66">
        <v>4.6475764490910896</v>
      </c>
      <c r="L36" s="66">
        <v>4.6475764490910896</v>
      </c>
      <c r="M36" s="66">
        <v>4.6516597579440804</v>
      </c>
      <c r="N36" s="66">
        <v>6.4869112843370802</v>
      </c>
      <c r="O36" s="66">
        <v>10.318908998296999</v>
      </c>
      <c r="P36" s="66">
        <v>14.237566886182901</v>
      </c>
      <c r="Q36" s="66">
        <v>14.237566886182901</v>
      </c>
      <c r="R36" s="66">
        <v>14.237566886182901</v>
      </c>
      <c r="S36" s="66">
        <v>15.2333251937778</v>
      </c>
      <c r="T36" s="66">
        <v>15.2333251937778</v>
      </c>
      <c r="U36" s="66">
        <v>15.2333251937778</v>
      </c>
    </row>
    <row r="37" spans="1:21">
      <c r="A37" s="43" t="s">
        <v>35</v>
      </c>
      <c r="B37" s="66">
        <v>13.9043968265026</v>
      </c>
      <c r="C37" s="66">
        <v>13.9043968265026</v>
      </c>
      <c r="D37" s="66">
        <v>13.9043968265026</v>
      </c>
      <c r="E37" s="66">
        <v>11.1817313313111</v>
      </c>
      <c r="F37" s="66">
        <v>11.1817313313111</v>
      </c>
      <c r="G37" s="66">
        <v>11.1817313313111</v>
      </c>
      <c r="H37" s="66">
        <v>7.3174057225860603</v>
      </c>
      <c r="I37" s="66">
        <v>8.56826987255908</v>
      </c>
      <c r="J37" s="66">
        <v>8.0131948204051309</v>
      </c>
      <c r="K37" s="66">
        <v>4.6475764490910896</v>
      </c>
      <c r="L37" s="66">
        <v>4.6475764490910896</v>
      </c>
      <c r="M37" s="66">
        <v>4.6516597579440804</v>
      </c>
      <c r="N37" s="66">
        <v>6.4869112843370802</v>
      </c>
      <c r="O37" s="66">
        <v>10.318908998296999</v>
      </c>
      <c r="P37" s="66">
        <v>14.237566886182901</v>
      </c>
      <c r="Q37" s="66">
        <v>14.237566886182901</v>
      </c>
      <c r="R37" s="66">
        <v>14.237566886182901</v>
      </c>
      <c r="S37" s="66">
        <v>15.2333251937778</v>
      </c>
      <c r="T37" s="66">
        <v>15.2333251937778</v>
      </c>
      <c r="U37" s="66">
        <v>15.2333251937778</v>
      </c>
    </row>
    <row r="38" spans="1:21">
      <c r="A38" s="43" t="s">
        <v>36</v>
      </c>
      <c r="B38" s="66">
        <v>13.9043968265026</v>
      </c>
      <c r="C38" s="66">
        <v>13.9043968265026</v>
      </c>
      <c r="D38" s="66">
        <v>13.9043968265026</v>
      </c>
      <c r="E38" s="66">
        <v>11.1817313313111</v>
      </c>
      <c r="F38" s="66">
        <v>11.1817313313111</v>
      </c>
      <c r="G38" s="66">
        <v>11.1817313313111</v>
      </c>
      <c r="H38" s="66">
        <v>7.3174057225860603</v>
      </c>
      <c r="I38" s="66">
        <v>8.56826987255908</v>
      </c>
      <c r="J38" s="66">
        <v>8.0131948204051309</v>
      </c>
      <c r="K38" s="66">
        <v>4.6475764490910896</v>
      </c>
      <c r="L38" s="66">
        <v>4.6475764490910896</v>
      </c>
      <c r="M38" s="66">
        <v>4.6516597579440804</v>
      </c>
      <c r="N38" s="66">
        <v>6.4869112843370802</v>
      </c>
      <c r="O38" s="66">
        <v>10.318908998296999</v>
      </c>
      <c r="P38" s="66">
        <v>14.237566886182901</v>
      </c>
      <c r="Q38" s="66">
        <v>14.237566886182901</v>
      </c>
      <c r="R38" s="66">
        <v>14.237566886182901</v>
      </c>
      <c r="S38" s="66">
        <v>15.2333251937778</v>
      </c>
      <c r="T38" s="66">
        <v>15.2333251937778</v>
      </c>
      <c r="U38" s="66">
        <v>15.2333251937778</v>
      </c>
    </row>
    <row r="39" spans="1:21">
      <c r="A39" s="43" t="s">
        <v>37</v>
      </c>
      <c r="B39" s="66">
        <v>13.9043968265026</v>
      </c>
      <c r="C39" s="66">
        <v>13.9043968265026</v>
      </c>
      <c r="D39" s="66">
        <v>13.9043968265026</v>
      </c>
      <c r="E39" s="66">
        <v>11.1817313313111</v>
      </c>
      <c r="F39" s="66">
        <v>11.1817313313111</v>
      </c>
      <c r="G39" s="66">
        <v>11.1817313313111</v>
      </c>
      <c r="H39" s="66">
        <v>7.3174057225860603</v>
      </c>
      <c r="I39" s="66">
        <v>8.56826987255908</v>
      </c>
      <c r="J39" s="66">
        <v>8.0131948204051309</v>
      </c>
      <c r="K39" s="66">
        <v>4.6475764490910896</v>
      </c>
      <c r="L39" s="66">
        <v>4.6475764490910896</v>
      </c>
      <c r="M39" s="66">
        <v>4.6516597579440804</v>
      </c>
      <c r="N39" s="66">
        <v>6.4869112843370802</v>
      </c>
      <c r="O39" s="66">
        <v>10.318908998296999</v>
      </c>
      <c r="P39" s="66">
        <v>14.237566886182901</v>
      </c>
      <c r="Q39" s="66">
        <v>14.237566886182901</v>
      </c>
      <c r="R39" s="66">
        <v>14.237566886182901</v>
      </c>
      <c r="S39" s="66">
        <v>15.2333251937778</v>
      </c>
      <c r="T39" s="66">
        <v>15.2333251937778</v>
      </c>
      <c r="U39" s="66">
        <v>15.2333251937778</v>
      </c>
    </row>
    <row r="40" spans="1:21">
      <c r="A40" s="43" t="s">
        <v>38</v>
      </c>
      <c r="B40" s="66">
        <v>13.9043968265026</v>
      </c>
      <c r="C40" s="66">
        <v>13.9043968265026</v>
      </c>
      <c r="D40" s="66">
        <v>13.9043968265026</v>
      </c>
      <c r="E40" s="66">
        <v>11.1817313313111</v>
      </c>
      <c r="F40" s="66">
        <v>11.1817313313111</v>
      </c>
      <c r="G40" s="66">
        <v>11.1817313313111</v>
      </c>
      <c r="H40" s="66">
        <v>7.3174057225860603</v>
      </c>
      <c r="I40" s="66">
        <v>8.56826987255908</v>
      </c>
      <c r="J40" s="66">
        <v>8.0131948204051309</v>
      </c>
      <c r="K40" s="66">
        <v>4.6475764490910896</v>
      </c>
      <c r="L40" s="66">
        <v>4.6475764490910896</v>
      </c>
      <c r="M40" s="66">
        <v>4.6516597579440804</v>
      </c>
      <c r="N40" s="66">
        <v>6.4869112843370802</v>
      </c>
      <c r="O40" s="66">
        <v>10.318908998296999</v>
      </c>
      <c r="P40" s="66">
        <v>14.237566886182901</v>
      </c>
      <c r="Q40" s="66">
        <v>14.237566886182901</v>
      </c>
      <c r="R40" s="66">
        <v>14.237566886182901</v>
      </c>
      <c r="S40" s="66">
        <v>15.2333251937778</v>
      </c>
      <c r="T40" s="66">
        <v>15.2333251937778</v>
      </c>
      <c r="U40" s="66">
        <v>15.2333251937778</v>
      </c>
    </row>
    <row r="41" spans="1:21">
      <c r="A41" s="43" t="s">
        <v>39</v>
      </c>
      <c r="B41" s="66">
        <v>13.9043968265026</v>
      </c>
      <c r="C41" s="66">
        <v>13.9043968265026</v>
      </c>
      <c r="D41" s="66">
        <v>13.9043968265026</v>
      </c>
      <c r="E41" s="66">
        <v>11.1817313313111</v>
      </c>
      <c r="F41" s="66">
        <v>11.1817313313111</v>
      </c>
      <c r="G41" s="66">
        <v>11.1817313313111</v>
      </c>
      <c r="H41" s="66">
        <v>7.3174057225860603</v>
      </c>
      <c r="I41" s="66">
        <v>8.56826987255908</v>
      </c>
      <c r="J41" s="66">
        <v>8.0131948204051309</v>
      </c>
      <c r="K41" s="66">
        <v>4.6475764490910896</v>
      </c>
      <c r="L41" s="66">
        <v>4.6475764490910896</v>
      </c>
      <c r="M41" s="66">
        <v>4.6516597579440804</v>
      </c>
      <c r="N41" s="66">
        <v>6.4869112843370802</v>
      </c>
      <c r="O41" s="66">
        <v>10.318908998296999</v>
      </c>
      <c r="P41" s="66">
        <v>14.237566886182901</v>
      </c>
      <c r="Q41" s="66">
        <v>14.237566886182901</v>
      </c>
      <c r="R41" s="66">
        <v>14.237566886182901</v>
      </c>
      <c r="S41" s="66">
        <v>15.2333251937778</v>
      </c>
      <c r="T41" s="66">
        <v>15.2333251937778</v>
      </c>
      <c r="U41" s="66">
        <v>15.2333251937778</v>
      </c>
    </row>
    <row r="42" spans="1:21">
      <c r="A42" s="43" t="s">
        <v>40</v>
      </c>
      <c r="B42" s="66">
        <v>13.9043968265026</v>
      </c>
      <c r="C42" s="66">
        <v>13.9043968265026</v>
      </c>
      <c r="D42" s="66">
        <v>13.9043968265026</v>
      </c>
      <c r="E42" s="66">
        <v>11.1817313313111</v>
      </c>
      <c r="F42" s="66">
        <v>11.1817313313111</v>
      </c>
      <c r="G42" s="66">
        <v>11.1817313313111</v>
      </c>
      <c r="H42" s="66">
        <v>7.3174057225860603</v>
      </c>
      <c r="I42" s="66">
        <v>8.56826987255908</v>
      </c>
      <c r="J42" s="66">
        <v>8.0131948204051309</v>
      </c>
      <c r="K42" s="66">
        <v>4.6475764490910896</v>
      </c>
      <c r="L42" s="66">
        <v>4.6475764490910896</v>
      </c>
      <c r="M42" s="66">
        <v>4.6516597579440804</v>
      </c>
      <c r="N42" s="66">
        <v>6.4869112843370802</v>
      </c>
      <c r="O42" s="66">
        <v>10.318908998296999</v>
      </c>
      <c r="P42" s="66">
        <v>14.237566886182901</v>
      </c>
      <c r="Q42" s="66">
        <v>14.237566886182901</v>
      </c>
      <c r="R42" s="66">
        <v>14.237566886182901</v>
      </c>
      <c r="S42" s="66">
        <v>15.2333251937778</v>
      </c>
      <c r="T42" s="66">
        <v>15.2333251937778</v>
      </c>
      <c r="U42" s="66">
        <v>15.2333251937778</v>
      </c>
    </row>
    <row r="43" spans="1:21">
      <c r="A43" s="43" t="s">
        <v>41</v>
      </c>
      <c r="B43" s="66">
        <v>13.9043968265026</v>
      </c>
      <c r="C43" s="66">
        <v>13.9043968265026</v>
      </c>
      <c r="D43" s="66">
        <v>13.9043968265026</v>
      </c>
      <c r="E43" s="66">
        <v>11.1817313313111</v>
      </c>
      <c r="F43" s="66">
        <v>11.1817313313111</v>
      </c>
      <c r="G43" s="66">
        <v>11.1817313313111</v>
      </c>
      <c r="H43" s="66">
        <v>7.3174057225860603</v>
      </c>
      <c r="I43" s="66">
        <v>8.56826987255908</v>
      </c>
      <c r="J43" s="66">
        <v>8.0131948204051309</v>
      </c>
      <c r="K43" s="66">
        <v>4.6475764490910896</v>
      </c>
      <c r="L43" s="66">
        <v>4.6475764490910896</v>
      </c>
      <c r="M43" s="66">
        <v>4.6516597579440804</v>
      </c>
      <c r="N43" s="66">
        <v>6.4869112843370802</v>
      </c>
      <c r="O43" s="66">
        <v>10.318908998296999</v>
      </c>
      <c r="P43" s="66">
        <v>14.237566886182901</v>
      </c>
      <c r="Q43" s="66">
        <v>14.237566886182901</v>
      </c>
      <c r="R43" s="66">
        <v>14.237566886182901</v>
      </c>
      <c r="S43" s="66">
        <v>15.2333251937778</v>
      </c>
      <c r="T43" s="66">
        <v>15.2333251937778</v>
      </c>
      <c r="U43" s="66">
        <v>15.2333251937778</v>
      </c>
    </row>
    <row r="44" spans="1:21">
      <c r="A44" s="43" t="s">
        <v>42</v>
      </c>
      <c r="B44" s="66">
        <v>13.9043968265026</v>
      </c>
      <c r="C44" s="66">
        <v>13.9043968265026</v>
      </c>
      <c r="D44" s="66">
        <v>13.9043968265026</v>
      </c>
      <c r="E44" s="66">
        <v>11.1817313313111</v>
      </c>
      <c r="F44" s="66">
        <v>11.1817313313111</v>
      </c>
      <c r="G44" s="66">
        <v>11.1817313313111</v>
      </c>
      <c r="H44" s="66">
        <v>7.3174057225860603</v>
      </c>
      <c r="I44" s="66">
        <v>8.56826987255908</v>
      </c>
      <c r="J44" s="66">
        <v>8.0131948204051309</v>
      </c>
      <c r="K44" s="66">
        <v>4.6475764490910896</v>
      </c>
      <c r="L44" s="66">
        <v>4.6475764490910896</v>
      </c>
      <c r="M44" s="66">
        <v>4.6516597579440804</v>
      </c>
      <c r="N44" s="66">
        <v>6.4869112843370802</v>
      </c>
      <c r="O44" s="66">
        <v>10.318908998296999</v>
      </c>
      <c r="P44" s="66">
        <v>14.237566886182901</v>
      </c>
      <c r="Q44" s="66">
        <v>14.237566886182901</v>
      </c>
      <c r="R44" s="66">
        <v>14.237566886182901</v>
      </c>
      <c r="S44" s="66">
        <v>15.2333251937778</v>
      </c>
      <c r="T44" s="66">
        <v>15.2333251937778</v>
      </c>
      <c r="U44" s="66">
        <v>15.2333251937778</v>
      </c>
    </row>
    <row r="45" spans="1:21">
      <c r="A45" s="43" t="s">
        <v>43</v>
      </c>
      <c r="B45" s="66">
        <v>13.9043968265026</v>
      </c>
      <c r="C45" s="66">
        <v>13.9043968265026</v>
      </c>
      <c r="D45" s="66">
        <v>13.9043968265026</v>
      </c>
      <c r="E45" s="66">
        <v>11.1817313313111</v>
      </c>
      <c r="F45" s="66">
        <v>11.1817313313111</v>
      </c>
      <c r="G45" s="66">
        <v>11.1817313313111</v>
      </c>
      <c r="H45" s="66">
        <v>7.3174057225860603</v>
      </c>
      <c r="I45" s="66">
        <v>8.56826987255908</v>
      </c>
      <c r="J45" s="66">
        <v>8.0131948204051309</v>
      </c>
      <c r="K45" s="66">
        <v>4.6475764490910896</v>
      </c>
      <c r="L45" s="66">
        <v>4.6475764490910896</v>
      </c>
      <c r="M45" s="66">
        <v>4.6516597579440804</v>
      </c>
      <c r="N45" s="66">
        <v>6.4869112843370802</v>
      </c>
      <c r="O45" s="66">
        <v>10.318908998296999</v>
      </c>
      <c r="P45" s="66">
        <v>14.237566886182901</v>
      </c>
      <c r="Q45" s="66">
        <v>14.237566886182901</v>
      </c>
      <c r="R45" s="66">
        <v>14.237566886182901</v>
      </c>
      <c r="S45" s="66">
        <v>15.2333251937778</v>
      </c>
      <c r="T45" s="66">
        <v>15.2333251937778</v>
      </c>
      <c r="U45" s="66">
        <v>15.2333251937778</v>
      </c>
    </row>
    <row r="46" spans="1:21">
      <c r="A46" s="43" t="s">
        <v>44</v>
      </c>
      <c r="B46" s="66">
        <v>13.9043968265026</v>
      </c>
      <c r="C46" s="66">
        <v>13.9043968265026</v>
      </c>
      <c r="D46" s="66">
        <v>13.9043968265026</v>
      </c>
      <c r="E46" s="66">
        <v>11.1817313313111</v>
      </c>
      <c r="F46" s="66">
        <v>11.1817313313111</v>
      </c>
      <c r="G46" s="66">
        <v>11.1817313313111</v>
      </c>
      <c r="H46" s="66">
        <v>7.3174057225860603</v>
      </c>
      <c r="I46" s="66">
        <v>8.56826987255908</v>
      </c>
      <c r="J46" s="66">
        <v>8.0131948204051309</v>
      </c>
      <c r="K46" s="66">
        <v>4.6475764490910896</v>
      </c>
      <c r="L46" s="66">
        <v>4.6475764490910896</v>
      </c>
      <c r="M46" s="66">
        <v>4.6516597579440804</v>
      </c>
      <c r="N46" s="66">
        <v>6.4869112843370802</v>
      </c>
      <c r="O46" s="66">
        <v>10.318908998296999</v>
      </c>
      <c r="P46" s="66">
        <v>14.237566886182901</v>
      </c>
      <c r="Q46" s="66">
        <v>14.237566886182901</v>
      </c>
      <c r="R46" s="66">
        <v>14.237566886182901</v>
      </c>
      <c r="S46" s="66">
        <v>15.2333251937778</v>
      </c>
      <c r="T46" s="66">
        <v>15.2333251937778</v>
      </c>
      <c r="U46" s="66">
        <v>15.2333251937778</v>
      </c>
    </row>
    <row r="47" spans="1:21">
      <c r="A47" s="43" t="s">
        <v>45</v>
      </c>
      <c r="B47" s="66">
        <v>13.9043968265026</v>
      </c>
      <c r="C47" s="66">
        <v>13.9043968265026</v>
      </c>
      <c r="D47" s="66">
        <v>13.9043968265026</v>
      </c>
      <c r="E47" s="66">
        <v>11.1817313313111</v>
      </c>
      <c r="F47" s="66">
        <v>11.1817313313111</v>
      </c>
      <c r="G47" s="66">
        <v>11.1817313313111</v>
      </c>
      <c r="H47" s="66">
        <v>7.3174057225860603</v>
      </c>
      <c r="I47" s="66">
        <v>8.56826987255908</v>
      </c>
      <c r="J47" s="66">
        <v>8.0131948204051309</v>
      </c>
      <c r="K47" s="66">
        <v>4.6475764490910896</v>
      </c>
      <c r="L47" s="66">
        <v>4.6475764490910896</v>
      </c>
      <c r="M47" s="66">
        <v>4.6516597579440804</v>
      </c>
      <c r="N47" s="66">
        <v>6.4869112843370802</v>
      </c>
      <c r="O47" s="66">
        <v>10.318908998296999</v>
      </c>
      <c r="P47" s="66">
        <v>14.237566886182901</v>
      </c>
      <c r="Q47" s="66">
        <v>14.237566886182901</v>
      </c>
      <c r="R47" s="66">
        <v>14.237566886182901</v>
      </c>
      <c r="S47" s="66">
        <v>15.2333251937778</v>
      </c>
      <c r="T47" s="66">
        <v>15.2333251937778</v>
      </c>
      <c r="U47" s="66">
        <v>15.2333251937778</v>
      </c>
    </row>
    <row r="48" spans="1:21">
      <c r="A48" s="43" t="s">
        <v>119</v>
      </c>
      <c r="B48" s="66">
        <v>13.9043968265026</v>
      </c>
      <c r="C48" s="66">
        <v>13.9043968265026</v>
      </c>
      <c r="D48" s="66">
        <v>13.9043968265026</v>
      </c>
      <c r="E48" s="66">
        <v>11.1817313313111</v>
      </c>
      <c r="F48" s="66">
        <v>11.1817313313111</v>
      </c>
      <c r="G48" s="66">
        <v>11.1817313313111</v>
      </c>
      <c r="H48" s="66">
        <v>7.3174057225860603</v>
      </c>
      <c r="I48" s="66">
        <v>8.56826987255908</v>
      </c>
      <c r="J48" s="66">
        <v>8.0131948204051309</v>
      </c>
      <c r="K48" s="66">
        <v>4.6475764490910896</v>
      </c>
      <c r="L48" s="66">
        <v>4.6475764490910896</v>
      </c>
      <c r="M48" s="66">
        <v>4.6516597579440804</v>
      </c>
      <c r="N48" s="66">
        <v>6.4869112843370802</v>
      </c>
      <c r="O48" s="66">
        <v>10.318908998296999</v>
      </c>
      <c r="P48" s="66">
        <v>14.237566886182901</v>
      </c>
      <c r="Q48" s="66">
        <v>14.237566886182901</v>
      </c>
      <c r="R48" s="66">
        <v>14.237566886182901</v>
      </c>
      <c r="S48" s="66">
        <v>15.2333251937778</v>
      </c>
      <c r="T48" s="66">
        <v>15.2333251937778</v>
      </c>
      <c r="U48" s="66">
        <v>15.2333251937778</v>
      </c>
    </row>
    <row r="49" spans="1:21">
      <c r="A49" s="43" t="s">
        <v>120</v>
      </c>
      <c r="B49" s="66">
        <v>13.9043968265026</v>
      </c>
      <c r="C49" s="66">
        <v>13.9043968265026</v>
      </c>
      <c r="D49" s="66">
        <v>13.9043968265026</v>
      </c>
      <c r="E49" s="66">
        <v>11.1817313313111</v>
      </c>
      <c r="F49" s="66">
        <v>11.1817313313111</v>
      </c>
      <c r="G49" s="66">
        <v>11.1817313313111</v>
      </c>
      <c r="H49" s="66">
        <v>7.3174057225860603</v>
      </c>
      <c r="I49" s="66">
        <v>8.56826987255908</v>
      </c>
      <c r="J49" s="66">
        <v>8.0131948204051309</v>
      </c>
      <c r="K49" s="66">
        <v>4.6475764490910896</v>
      </c>
      <c r="L49" s="66">
        <v>4.6475764490910896</v>
      </c>
      <c r="M49" s="66">
        <v>4.6516597579440804</v>
      </c>
      <c r="N49" s="66">
        <v>6.4869112843370802</v>
      </c>
      <c r="O49" s="66">
        <v>10.318908998296999</v>
      </c>
      <c r="P49" s="66">
        <v>14.237566886182901</v>
      </c>
      <c r="Q49" s="66">
        <v>14.237566886182901</v>
      </c>
      <c r="R49" s="66">
        <v>14.237566886182901</v>
      </c>
      <c r="S49" s="66">
        <v>15.2333251937778</v>
      </c>
      <c r="T49" s="66">
        <v>15.2333251937778</v>
      </c>
      <c r="U49" s="66">
        <v>15.2333251937778</v>
      </c>
    </row>
    <row r="50" spans="1:21">
      <c r="A50" s="43" t="s">
        <v>121</v>
      </c>
      <c r="B50" s="66">
        <v>13.9043968265026</v>
      </c>
      <c r="C50" s="66">
        <v>13.9043968265026</v>
      </c>
      <c r="D50" s="66">
        <v>13.9043968265026</v>
      </c>
      <c r="E50" s="66">
        <v>11.1817313313111</v>
      </c>
      <c r="F50" s="66">
        <v>11.1817313313111</v>
      </c>
      <c r="G50" s="66">
        <v>11.1817313313111</v>
      </c>
      <c r="H50" s="66">
        <v>7.3174057225860603</v>
      </c>
      <c r="I50" s="66">
        <v>8.56826987255908</v>
      </c>
      <c r="J50" s="66">
        <v>8.0131948204051309</v>
      </c>
      <c r="K50" s="66">
        <v>4.6475764490910896</v>
      </c>
      <c r="L50" s="66">
        <v>4.6475764490910896</v>
      </c>
      <c r="M50" s="66">
        <v>4.6516597579440804</v>
      </c>
      <c r="N50" s="66">
        <v>6.4869112843370802</v>
      </c>
      <c r="O50" s="66">
        <v>10.318908998296999</v>
      </c>
      <c r="P50" s="66">
        <v>14.237566886182901</v>
      </c>
      <c r="Q50" s="66">
        <v>14.237566886182901</v>
      </c>
      <c r="R50" s="66">
        <v>14.237566886182901</v>
      </c>
      <c r="S50" s="66">
        <v>15.2333251937778</v>
      </c>
      <c r="T50" s="66">
        <v>15.2333251937778</v>
      </c>
      <c r="U50" s="66">
        <v>15.2333251937778</v>
      </c>
    </row>
    <row r="51" spans="1:21">
      <c r="A51" s="43" t="s">
        <v>122</v>
      </c>
      <c r="B51" s="66">
        <v>13.9043968265026</v>
      </c>
      <c r="C51" s="66">
        <v>13.9043968265026</v>
      </c>
      <c r="D51" s="66">
        <v>13.9043968265026</v>
      </c>
      <c r="E51" s="66">
        <v>11.1817313313111</v>
      </c>
      <c r="F51" s="66">
        <v>11.1817313313111</v>
      </c>
      <c r="G51" s="66">
        <v>11.1817313313111</v>
      </c>
      <c r="H51" s="66">
        <v>7.3174057225860603</v>
      </c>
      <c r="I51" s="66">
        <v>8.56826987255908</v>
      </c>
      <c r="J51" s="66">
        <v>8.0131948204051309</v>
      </c>
      <c r="K51" s="66">
        <v>4.6475764490910896</v>
      </c>
      <c r="L51" s="66">
        <v>4.6475764490910896</v>
      </c>
      <c r="M51" s="66">
        <v>4.6516597579440804</v>
      </c>
      <c r="N51" s="66">
        <v>6.4869112843370802</v>
      </c>
      <c r="O51" s="66">
        <v>10.318908998296999</v>
      </c>
      <c r="P51" s="66">
        <v>14.237566886182901</v>
      </c>
      <c r="Q51" s="66">
        <v>14.237566886182901</v>
      </c>
      <c r="R51" s="66">
        <v>14.237566886182901</v>
      </c>
      <c r="S51" s="66">
        <v>15.2333251937778</v>
      </c>
      <c r="T51" s="66">
        <v>15.2333251937778</v>
      </c>
      <c r="U51" s="66">
        <v>15.2333251937778</v>
      </c>
    </row>
    <row r="52" spans="1:21">
      <c r="A52" s="43" t="s">
        <v>123</v>
      </c>
      <c r="B52" s="66">
        <v>13.9043968265026</v>
      </c>
      <c r="C52" s="66">
        <v>13.9043968265026</v>
      </c>
      <c r="D52" s="66">
        <v>13.9043968265026</v>
      </c>
      <c r="E52" s="66">
        <v>11.1817313313111</v>
      </c>
      <c r="F52" s="66">
        <v>11.1817313313111</v>
      </c>
      <c r="G52" s="66">
        <v>11.1817313313111</v>
      </c>
      <c r="H52" s="66">
        <v>7.3174057225860603</v>
      </c>
      <c r="I52" s="66">
        <v>8.56826987255908</v>
      </c>
      <c r="J52" s="66">
        <v>8.0131948204051309</v>
      </c>
      <c r="K52" s="66">
        <v>4.6475764490910896</v>
      </c>
      <c r="L52" s="66">
        <v>4.6475764490910896</v>
      </c>
      <c r="M52" s="66">
        <v>4.6516597579440804</v>
      </c>
      <c r="N52" s="66">
        <v>6.4869112843370802</v>
      </c>
      <c r="O52" s="66">
        <v>10.318908998296999</v>
      </c>
      <c r="P52" s="66">
        <v>14.237566886182901</v>
      </c>
      <c r="Q52" s="66">
        <v>14.237566886182901</v>
      </c>
      <c r="R52" s="66">
        <v>14.237566886182901</v>
      </c>
      <c r="S52" s="66">
        <v>15.2333251937778</v>
      </c>
      <c r="T52" s="66">
        <v>15.2333251937778</v>
      </c>
      <c r="U52" s="66">
        <v>15.2333251937778</v>
      </c>
    </row>
    <row r="53" spans="1:21">
      <c r="A53" s="43" t="s">
        <v>124</v>
      </c>
      <c r="B53" s="66">
        <v>13.9043968265026</v>
      </c>
      <c r="C53" s="66">
        <v>13.9043968265026</v>
      </c>
      <c r="D53" s="66">
        <v>13.9043968265026</v>
      </c>
      <c r="E53" s="66">
        <v>11.1817313313111</v>
      </c>
      <c r="F53" s="66">
        <v>11.1817313313111</v>
      </c>
      <c r="G53" s="66">
        <v>11.1817313313111</v>
      </c>
      <c r="H53" s="66">
        <v>7.3174057225860603</v>
      </c>
      <c r="I53" s="66">
        <v>8.56826987255908</v>
      </c>
      <c r="J53" s="66">
        <v>8.0131948204051309</v>
      </c>
      <c r="K53" s="66">
        <v>4.6475764490910896</v>
      </c>
      <c r="L53" s="66">
        <v>4.6475764490910896</v>
      </c>
      <c r="M53" s="66">
        <v>4.6516597579440804</v>
      </c>
      <c r="N53" s="66">
        <v>6.4869112843370802</v>
      </c>
      <c r="O53" s="66">
        <v>10.318908998296999</v>
      </c>
      <c r="P53" s="66">
        <v>14.237566886182901</v>
      </c>
      <c r="Q53" s="66">
        <v>14.237566886182901</v>
      </c>
      <c r="R53" s="66">
        <v>14.237566886182901</v>
      </c>
      <c r="S53" s="66">
        <v>15.2333251937778</v>
      </c>
      <c r="T53" s="66">
        <v>15.2333251937778</v>
      </c>
      <c r="U53" s="66">
        <v>15.2333251937778</v>
      </c>
    </row>
    <row r="54" spans="1:21">
      <c r="A54" s="43" t="s">
        <v>125</v>
      </c>
      <c r="B54" s="66">
        <v>13.9043968265026</v>
      </c>
      <c r="C54" s="66">
        <v>13.9043968265026</v>
      </c>
      <c r="D54" s="66">
        <v>13.9043968265026</v>
      </c>
      <c r="E54" s="66">
        <v>11.1817313313111</v>
      </c>
      <c r="F54" s="66">
        <v>11.1817313313111</v>
      </c>
      <c r="G54" s="66">
        <v>11.1817313313111</v>
      </c>
      <c r="H54" s="66">
        <v>7.3174057225860603</v>
      </c>
      <c r="I54" s="66">
        <v>8.56826987255908</v>
      </c>
      <c r="J54" s="66">
        <v>8.0131948204051309</v>
      </c>
      <c r="K54" s="66">
        <v>4.6475764490910896</v>
      </c>
      <c r="L54" s="66">
        <v>4.6475764490910896</v>
      </c>
      <c r="M54" s="66">
        <v>4.6516597579440804</v>
      </c>
      <c r="N54" s="66">
        <v>6.4869112843370802</v>
      </c>
      <c r="O54" s="66">
        <v>10.318908998296999</v>
      </c>
      <c r="P54" s="66">
        <v>14.237566886182901</v>
      </c>
      <c r="Q54" s="66">
        <v>14.237566886182901</v>
      </c>
      <c r="R54" s="66">
        <v>14.237566886182901</v>
      </c>
      <c r="S54" s="66">
        <v>15.2333251937778</v>
      </c>
      <c r="T54" s="66">
        <v>15.2333251937778</v>
      </c>
      <c r="U54" s="66">
        <v>15.2333251937778</v>
      </c>
    </row>
    <row r="55" spans="1:21">
      <c r="A55" s="43" t="s">
        <v>126</v>
      </c>
      <c r="B55" s="66">
        <v>13.9043968265026</v>
      </c>
      <c r="C55" s="66">
        <v>13.9043968265026</v>
      </c>
      <c r="D55" s="66">
        <v>13.9043968265026</v>
      </c>
      <c r="E55" s="66">
        <v>11.1817313313111</v>
      </c>
      <c r="F55" s="66">
        <v>11.1817313313111</v>
      </c>
      <c r="G55" s="66">
        <v>11.1817313313111</v>
      </c>
      <c r="H55" s="66">
        <v>7.3174057225860603</v>
      </c>
      <c r="I55" s="66">
        <v>8.56826987255908</v>
      </c>
      <c r="J55" s="66">
        <v>8.0131948204051309</v>
      </c>
      <c r="K55" s="66">
        <v>4.6475764490910896</v>
      </c>
      <c r="L55" s="66">
        <v>4.6475764490910896</v>
      </c>
      <c r="M55" s="66">
        <v>4.6516597579440804</v>
      </c>
      <c r="N55" s="66">
        <v>6.4869112843370802</v>
      </c>
      <c r="O55" s="66">
        <v>10.318908998296999</v>
      </c>
      <c r="P55" s="66">
        <v>14.237566886182901</v>
      </c>
      <c r="Q55" s="66">
        <v>14.237566886182901</v>
      </c>
      <c r="R55" s="66">
        <v>14.237566886182901</v>
      </c>
      <c r="S55" s="66">
        <v>15.2333251937778</v>
      </c>
      <c r="T55" s="66">
        <v>15.2333251937778</v>
      </c>
      <c r="U55" s="66">
        <v>15.2333251937778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BA39-C962-0E42-BBCD-A5CF2CD10C4B}">
  <dimension ref="A1:U55"/>
  <sheetViews>
    <sheetView workbookViewId="0">
      <selection activeCell="L62" sqref="L62"/>
    </sheetView>
  </sheetViews>
  <sheetFormatPr baseColWidth="10" defaultRowHeight="15"/>
  <sheetData>
    <row r="1" spans="1:21" ht="16">
      <c r="A1" s="63" t="s">
        <v>18</v>
      </c>
      <c r="B1" s="64" t="s">
        <v>5</v>
      </c>
      <c r="C1" s="64" t="s">
        <v>6</v>
      </c>
      <c r="D1" s="64" t="s">
        <v>7</v>
      </c>
      <c r="E1" s="65" t="s">
        <v>8</v>
      </c>
      <c r="F1" s="65" t="s">
        <v>9</v>
      </c>
      <c r="G1" s="65" t="s">
        <v>10</v>
      </c>
      <c r="H1" s="64">
        <v>9</v>
      </c>
      <c r="I1" s="64">
        <v>10</v>
      </c>
      <c r="J1" s="64">
        <v>11</v>
      </c>
      <c r="K1" s="64">
        <v>12</v>
      </c>
      <c r="L1" s="64">
        <v>1</v>
      </c>
      <c r="M1" s="64">
        <v>2</v>
      </c>
      <c r="N1" s="64">
        <v>3</v>
      </c>
      <c r="O1" s="64">
        <v>4</v>
      </c>
      <c r="P1" s="65" t="s">
        <v>11</v>
      </c>
      <c r="Q1" s="65" t="s">
        <v>12</v>
      </c>
      <c r="R1" s="65" t="s">
        <v>13</v>
      </c>
      <c r="S1" s="65" t="s">
        <v>14</v>
      </c>
      <c r="T1" s="65" t="s">
        <v>15</v>
      </c>
      <c r="U1" s="65" t="s">
        <v>16</v>
      </c>
    </row>
    <row r="2" spans="1:21">
      <c r="A2" s="43" t="s">
        <v>46</v>
      </c>
      <c r="B2" s="44">
        <v>34.095603173497402</v>
      </c>
      <c r="C2" s="44">
        <v>34.095603173497402</v>
      </c>
      <c r="D2" s="44">
        <v>34.095603173497402</v>
      </c>
      <c r="E2" s="44">
        <v>27.818268668688901</v>
      </c>
      <c r="F2" s="44">
        <v>27.818268668688901</v>
      </c>
      <c r="G2" s="44">
        <v>27.818268668688901</v>
      </c>
      <c r="H2" s="44">
        <v>17.682594277413902</v>
      </c>
      <c r="I2" s="44">
        <v>21.4317301274409</v>
      </c>
      <c r="J2" s="44">
        <v>19.986805179594899</v>
      </c>
      <c r="K2" s="44">
        <v>11.352423550908901</v>
      </c>
      <c r="L2" s="44">
        <v>11.352423550908901</v>
      </c>
      <c r="M2" s="44">
        <v>11.348340242055899</v>
      </c>
      <c r="N2" s="44">
        <v>16.513088715662899</v>
      </c>
      <c r="O2" s="44">
        <v>25.681091001702999</v>
      </c>
      <c r="P2" s="44">
        <v>35.762433113817103</v>
      </c>
      <c r="Q2" s="44">
        <v>35.762433113817103</v>
      </c>
      <c r="R2" s="44">
        <v>35.762433113817103</v>
      </c>
      <c r="S2" s="44">
        <v>37.766674806222198</v>
      </c>
      <c r="T2" s="44">
        <v>37.766674806222198</v>
      </c>
      <c r="U2" s="44">
        <v>37.766674806222198</v>
      </c>
    </row>
    <row r="3" spans="1:21">
      <c r="A3" s="43" t="s">
        <v>47</v>
      </c>
      <c r="B3" s="44">
        <v>34.095603173497402</v>
      </c>
      <c r="C3" s="44">
        <v>34.095603173497402</v>
      </c>
      <c r="D3" s="44">
        <v>34.095603173497402</v>
      </c>
      <c r="E3" s="44">
        <v>27.818268668688901</v>
      </c>
      <c r="F3" s="44">
        <v>27.818268668688901</v>
      </c>
      <c r="G3" s="44">
        <v>27.818268668688901</v>
      </c>
      <c r="H3" s="44">
        <v>17.682594277413902</v>
      </c>
      <c r="I3" s="44">
        <v>21.4317301274409</v>
      </c>
      <c r="J3" s="44">
        <v>19.986805179594899</v>
      </c>
      <c r="K3" s="44">
        <v>11.352423550908901</v>
      </c>
      <c r="L3" s="44">
        <v>11.352423550908901</v>
      </c>
      <c r="M3" s="44">
        <v>11.348340242055899</v>
      </c>
      <c r="N3" s="44">
        <v>16.513088715662899</v>
      </c>
      <c r="O3" s="44">
        <v>25.681091001702999</v>
      </c>
      <c r="P3" s="44">
        <v>35.762433113817103</v>
      </c>
      <c r="Q3" s="44">
        <v>35.762433113817103</v>
      </c>
      <c r="R3" s="44">
        <v>35.762433113817103</v>
      </c>
      <c r="S3" s="44">
        <v>37.766674806222198</v>
      </c>
      <c r="T3" s="44">
        <v>37.766674806222198</v>
      </c>
      <c r="U3" s="44">
        <v>37.766674806222198</v>
      </c>
    </row>
    <row r="4" spans="1:21">
      <c r="A4" s="43" t="s">
        <v>48</v>
      </c>
      <c r="B4" s="44">
        <v>34.095603173497402</v>
      </c>
      <c r="C4" s="44">
        <v>34.095603173497402</v>
      </c>
      <c r="D4" s="44">
        <v>34.095603173497402</v>
      </c>
      <c r="E4" s="44">
        <v>27.818268668688901</v>
      </c>
      <c r="F4" s="44">
        <v>27.818268668688901</v>
      </c>
      <c r="G4" s="44">
        <v>27.818268668688901</v>
      </c>
      <c r="H4" s="44">
        <v>17.682594277413902</v>
      </c>
      <c r="I4" s="44">
        <v>21.4317301274409</v>
      </c>
      <c r="J4" s="44">
        <v>19.986805179594899</v>
      </c>
      <c r="K4" s="44">
        <v>11.352423550908901</v>
      </c>
      <c r="L4" s="44">
        <v>11.352423550908901</v>
      </c>
      <c r="M4" s="44">
        <v>11.348340242055899</v>
      </c>
      <c r="N4" s="44">
        <v>16.513088715662899</v>
      </c>
      <c r="O4" s="44">
        <v>25.681091001702999</v>
      </c>
      <c r="P4" s="44">
        <v>35.762433113817103</v>
      </c>
      <c r="Q4" s="44">
        <v>35.762433113817103</v>
      </c>
      <c r="R4" s="44">
        <v>35.762433113817103</v>
      </c>
      <c r="S4" s="44">
        <v>37.766674806222198</v>
      </c>
      <c r="T4" s="44">
        <v>37.766674806222198</v>
      </c>
      <c r="U4" s="44">
        <v>37.766674806222198</v>
      </c>
    </row>
    <row r="5" spans="1:21">
      <c r="A5" s="43" t="s">
        <v>49</v>
      </c>
      <c r="B5" s="44">
        <v>34.095603173497402</v>
      </c>
      <c r="C5" s="44">
        <v>34.095603173497402</v>
      </c>
      <c r="D5" s="44">
        <v>34.095603173497402</v>
      </c>
      <c r="E5" s="44">
        <v>27.818268668688901</v>
      </c>
      <c r="F5" s="44">
        <v>27.818268668688901</v>
      </c>
      <c r="G5" s="44">
        <v>27.818268668688901</v>
      </c>
      <c r="H5" s="44">
        <v>17.682594277413902</v>
      </c>
      <c r="I5" s="44">
        <v>21.4317301274409</v>
      </c>
      <c r="J5" s="44">
        <v>19.986805179594899</v>
      </c>
      <c r="K5" s="44">
        <v>11.352423550908901</v>
      </c>
      <c r="L5" s="44">
        <v>11.352423550908901</v>
      </c>
      <c r="M5" s="44">
        <v>11.348340242055899</v>
      </c>
      <c r="N5" s="44">
        <v>16.513088715662899</v>
      </c>
      <c r="O5" s="44">
        <v>25.681091001702999</v>
      </c>
      <c r="P5" s="44">
        <v>35.762433113817103</v>
      </c>
      <c r="Q5" s="44">
        <v>35.762433113817103</v>
      </c>
      <c r="R5" s="44">
        <v>35.762433113817103</v>
      </c>
      <c r="S5" s="44">
        <v>37.766674806222198</v>
      </c>
      <c r="T5" s="44">
        <v>37.766674806222198</v>
      </c>
      <c r="U5" s="44">
        <v>37.766674806222198</v>
      </c>
    </row>
    <row r="6" spans="1:21">
      <c r="A6" s="43" t="s">
        <v>50</v>
      </c>
      <c r="B6" s="44">
        <v>34.095603173497402</v>
      </c>
      <c r="C6" s="44">
        <v>34.095603173497402</v>
      </c>
      <c r="D6" s="44">
        <v>34.095603173497402</v>
      </c>
      <c r="E6" s="44">
        <v>27.818268668688901</v>
      </c>
      <c r="F6" s="44">
        <v>27.818268668688901</v>
      </c>
      <c r="G6" s="44">
        <v>27.818268668688901</v>
      </c>
      <c r="H6" s="44">
        <v>17.682594277413902</v>
      </c>
      <c r="I6" s="44">
        <v>21.4317301274409</v>
      </c>
      <c r="J6" s="44">
        <v>19.986805179594899</v>
      </c>
      <c r="K6" s="44">
        <v>11.352423550908901</v>
      </c>
      <c r="L6" s="44">
        <v>11.352423550908901</v>
      </c>
      <c r="M6" s="44">
        <v>11.348340242055899</v>
      </c>
      <c r="N6" s="44">
        <v>16.513088715662899</v>
      </c>
      <c r="O6" s="44">
        <v>25.681091001702999</v>
      </c>
      <c r="P6" s="44">
        <v>35.762433113817103</v>
      </c>
      <c r="Q6" s="44">
        <v>35.762433113817103</v>
      </c>
      <c r="R6" s="44">
        <v>35.762433113817103</v>
      </c>
      <c r="S6" s="44">
        <v>37.766674806222198</v>
      </c>
      <c r="T6" s="44">
        <v>37.766674806222198</v>
      </c>
      <c r="U6" s="44">
        <v>37.766674806222198</v>
      </c>
    </row>
    <row r="7" spans="1:21">
      <c r="A7" s="43" t="s">
        <v>51</v>
      </c>
      <c r="B7" s="44">
        <v>34.095603173497402</v>
      </c>
      <c r="C7" s="44">
        <v>34.095603173497402</v>
      </c>
      <c r="D7" s="44">
        <v>34.095603173497402</v>
      </c>
      <c r="E7" s="44">
        <v>27.818268668688901</v>
      </c>
      <c r="F7" s="44">
        <v>27.818268668688901</v>
      </c>
      <c r="G7" s="44">
        <v>27.818268668688901</v>
      </c>
      <c r="H7" s="44">
        <v>17.682594277413902</v>
      </c>
      <c r="I7" s="44">
        <v>21.4317301274409</v>
      </c>
      <c r="J7" s="44">
        <v>19.986805179594899</v>
      </c>
      <c r="K7" s="44">
        <v>11.352423550908901</v>
      </c>
      <c r="L7" s="44">
        <v>11.352423550908901</v>
      </c>
      <c r="M7" s="44">
        <v>11.348340242055899</v>
      </c>
      <c r="N7" s="44">
        <v>16.513088715662899</v>
      </c>
      <c r="O7" s="44">
        <v>25.681091001702999</v>
      </c>
      <c r="P7" s="44">
        <v>35.762433113817103</v>
      </c>
      <c r="Q7" s="44">
        <v>35.762433113817103</v>
      </c>
      <c r="R7" s="44">
        <v>35.762433113817103</v>
      </c>
      <c r="S7" s="44">
        <v>37.766674806222198</v>
      </c>
      <c r="T7" s="44">
        <v>37.766674806222198</v>
      </c>
      <c r="U7" s="44">
        <v>37.766674806222198</v>
      </c>
    </row>
    <row r="8" spans="1:21">
      <c r="A8" s="43" t="s">
        <v>52</v>
      </c>
      <c r="B8" s="44">
        <v>34.095603173497402</v>
      </c>
      <c r="C8" s="44">
        <v>34.095603173497402</v>
      </c>
      <c r="D8" s="44">
        <v>34.095603173497402</v>
      </c>
      <c r="E8" s="44">
        <v>27.818268668688901</v>
      </c>
      <c r="F8" s="44">
        <v>27.818268668688901</v>
      </c>
      <c r="G8" s="44">
        <v>27.818268668688901</v>
      </c>
      <c r="H8" s="44">
        <v>17.682594277413902</v>
      </c>
      <c r="I8" s="44">
        <v>21.4317301274409</v>
      </c>
      <c r="J8" s="44">
        <v>19.986805179594899</v>
      </c>
      <c r="K8" s="44">
        <v>11.352423550908901</v>
      </c>
      <c r="L8" s="44">
        <v>11.352423550908901</v>
      </c>
      <c r="M8" s="44">
        <v>11.348340242055899</v>
      </c>
      <c r="N8" s="44">
        <v>16.513088715662899</v>
      </c>
      <c r="O8" s="44">
        <v>25.681091001702999</v>
      </c>
      <c r="P8" s="44">
        <v>35.762433113817103</v>
      </c>
      <c r="Q8" s="44">
        <v>35.762433113817103</v>
      </c>
      <c r="R8" s="44">
        <v>35.762433113817103</v>
      </c>
      <c r="S8" s="44">
        <v>37.766674806222198</v>
      </c>
      <c r="T8" s="44">
        <v>37.766674806222198</v>
      </c>
      <c r="U8" s="44">
        <v>37.766674806222198</v>
      </c>
    </row>
    <row r="9" spans="1:21">
      <c r="A9" s="43" t="s">
        <v>53</v>
      </c>
      <c r="B9" s="44">
        <v>34.095603173497402</v>
      </c>
      <c r="C9" s="44">
        <v>34.095603173497402</v>
      </c>
      <c r="D9" s="44">
        <v>34.095603173497402</v>
      </c>
      <c r="E9" s="44">
        <v>27.818268668688901</v>
      </c>
      <c r="F9" s="44">
        <v>27.818268668688901</v>
      </c>
      <c r="G9" s="44">
        <v>27.818268668688901</v>
      </c>
      <c r="H9" s="44">
        <v>17.682594277413902</v>
      </c>
      <c r="I9" s="44">
        <v>21.4317301274409</v>
      </c>
      <c r="J9" s="44">
        <v>19.986805179594899</v>
      </c>
      <c r="K9" s="44">
        <v>11.352423550908901</v>
      </c>
      <c r="L9" s="44">
        <v>11.352423550908901</v>
      </c>
      <c r="M9" s="44">
        <v>11.348340242055899</v>
      </c>
      <c r="N9" s="44">
        <v>16.513088715662899</v>
      </c>
      <c r="O9" s="44">
        <v>25.681091001702999</v>
      </c>
      <c r="P9" s="44">
        <v>35.762433113817103</v>
      </c>
      <c r="Q9" s="44">
        <v>35.762433113817103</v>
      </c>
      <c r="R9" s="44">
        <v>35.762433113817103</v>
      </c>
      <c r="S9" s="44">
        <v>37.766674806222198</v>
      </c>
      <c r="T9" s="44">
        <v>37.766674806222198</v>
      </c>
      <c r="U9" s="44">
        <v>37.766674806222198</v>
      </c>
    </row>
    <row r="10" spans="1:21">
      <c r="A10" s="43" t="s">
        <v>54</v>
      </c>
      <c r="B10" s="44">
        <v>34.095603173497402</v>
      </c>
      <c r="C10" s="44">
        <v>34.095603173497402</v>
      </c>
      <c r="D10" s="44">
        <v>34.095603173497402</v>
      </c>
      <c r="E10" s="44">
        <v>27.818268668688901</v>
      </c>
      <c r="F10" s="44">
        <v>27.818268668688901</v>
      </c>
      <c r="G10" s="44">
        <v>27.818268668688901</v>
      </c>
      <c r="H10" s="44">
        <v>17.682594277413902</v>
      </c>
      <c r="I10" s="44">
        <v>21.4317301274409</v>
      </c>
      <c r="J10" s="44">
        <v>19.986805179594899</v>
      </c>
      <c r="K10" s="44">
        <v>11.352423550908901</v>
      </c>
      <c r="L10" s="44">
        <v>11.352423550908901</v>
      </c>
      <c r="M10" s="44">
        <v>11.348340242055899</v>
      </c>
      <c r="N10" s="44">
        <v>16.513088715662899</v>
      </c>
      <c r="O10" s="44">
        <v>25.681091001702999</v>
      </c>
      <c r="P10" s="44">
        <v>35.762433113817103</v>
      </c>
      <c r="Q10" s="44">
        <v>35.762433113817103</v>
      </c>
      <c r="R10" s="44">
        <v>35.762433113817103</v>
      </c>
      <c r="S10" s="44">
        <v>37.766674806222198</v>
      </c>
      <c r="T10" s="44">
        <v>37.766674806222198</v>
      </c>
      <c r="U10" s="44">
        <v>37.766674806222198</v>
      </c>
    </row>
    <row r="11" spans="1:21">
      <c r="A11" s="43" t="s">
        <v>55</v>
      </c>
      <c r="B11" s="44">
        <v>34.095603173497402</v>
      </c>
      <c r="C11" s="44">
        <v>34.095603173497402</v>
      </c>
      <c r="D11" s="44">
        <v>34.095603173497402</v>
      </c>
      <c r="E11" s="44">
        <v>27.818268668688901</v>
      </c>
      <c r="F11" s="44">
        <v>27.818268668688901</v>
      </c>
      <c r="G11" s="44">
        <v>27.818268668688901</v>
      </c>
      <c r="H11" s="44">
        <v>17.682594277413902</v>
      </c>
      <c r="I11" s="44">
        <v>21.4317301274409</v>
      </c>
      <c r="J11" s="44">
        <v>19.986805179594899</v>
      </c>
      <c r="K11" s="44">
        <v>11.352423550908901</v>
      </c>
      <c r="L11" s="44">
        <v>11.352423550908901</v>
      </c>
      <c r="M11" s="44">
        <v>11.348340242055899</v>
      </c>
      <c r="N11" s="44">
        <v>16.513088715662899</v>
      </c>
      <c r="O11" s="44">
        <v>25.681091001702999</v>
      </c>
      <c r="P11" s="44">
        <v>35.762433113817103</v>
      </c>
      <c r="Q11" s="44">
        <v>35.762433113817103</v>
      </c>
      <c r="R11" s="44">
        <v>35.762433113817103</v>
      </c>
      <c r="S11" s="44">
        <v>37.766674806222198</v>
      </c>
      <c r="T11" s="44">
        <v>37.766674806222198</v>
      </c>
      <c r="U11" s="44">
        <v>37.766674806222198</v>
      </c>
    </row>
    <row r="12" spans="1:21">
      <c r="A12" s="43" t="s">
        <v>56</v>
      </c>
      <c r="B12" s="44">
        <v>34.095603173497402</v>
      </c>
      <c r="C12" s="44">
        <v>34.095603173497402</v>
      </c>
      <c r="D12" s="44">
        <v>34.095603173497402</v>
      </c>
      <c r="E12" s="44">
        <v>27.818268668688901</v>
      </c>
      <c r="F12" s="44">
        <v>27.818268668688901</v>
      </c>
      <c r="G12" s="44">
        <v>27.818268668688901</v>
      </c>
      <c r="H12" s="44">
        <v>17.682594277413902</v>
      </c>
      <c r="I12" s="44">
        <v>21.4317301274409</v>
      </c>
      <c r="J12" s="44">
        <v>19.986805179594899</v>
      </c>
      <c r="K12" s="44">
        <v>11.352423550908901</v>
      </c>
      <c r="L12" s="44">
        <v>11.352423550908901</v>
      </c>
      <c r="M12" s="44">
        <v>11.348340242055899</v>
      </c>
      <c r="N12" s="44">
        <v>16.513088715662899</v>
      </c>
      <c r="O12" s="44">
        <v>25.681091001702999</v>
      </c>
      <c r="P12" s="44">
        <v>35.762433113817103</v>
      </c>
      <c r="Q12" s="44">
        <v>35.762433113817103</v>
      </c>
      <c r="R12" s="44">
        <v>35.762433113817103</v>
      </c>
      <c r="S12" s="44">
        <v>37.766674806222198</v>
      </c>
      <c r="T12" s="44">
        <v>37.766674806222198</v>
      </c>
      <c r="U12" s="44">
        <v>37.766674806222198</v>
      </c>
    </row>
    <row r="13" spans="1:21">
      <c r="A13" s="43" t="s">
        <v>57</v>
      </c>
      <c r="B13" s="44">
        <v>34.095603173497402</v>
      </c>
      <c r="C13" s="44">
        <v>34.095603173497402</v>
      </c>
      <c r="D13" s="44">
        <v>34.095603173497402</v>
      </c>
      <c r="E13" s="44">
        <v>27.818268668688901</v>
      </c>
      <c r="F13" s="44">
        <v>27.818268668688901</v>
      </c>
      <c r="G13" s="44">
        <v>27.818268668688901</v>
      </c>
      <c r="H13" s="44">
        <v>17.682594277413902</v>
      </c>
      <c r="I13" s="44">
        <v>21.4317301274409</v>
      </c>
      <c r="J13" s="44">
        <v>19.986805179594899</v>
      </c>
      <c r="K13" s="44">
        <v>11.352423550908901</v>
      </c>
      <c r="L13" s="44">
        <v>11.352423550908901</v>
      </c>
      <c r="M13" s="44">
        <v>11.348340242055899</v>
      </c>
      <c r="N13" s="44">
        <v>16.513088715662899</v>
      </c>
      <c r="O13" s="44">
        <v>25.681091001702999</v>
      </c>
      <c r="P13" s="44">
        <v>35.762433113817103</v>
      </c>
      <c r="Q13" s="44">
        <v>35.762433113817103</v>
      </c>
      <c r="R13" s="44">
        <v>35.762433113817103</v>
      </c>
      <c r="S13" s="44">
        <v>37.766674806222198</v>
      </c>
      <c r="T13" s="44">
        <v>37.766674806222198</v>
      </c>
      <c r="U13" s="44">
        <v>37.766674806222198</v>
      </c>
    </row>
    <row r="14" spans="1:21">
      <c r="A14" s="43" t="s">
        <v>58</v>
      </c>
      <c r="B14" s="44">
        <v>34.095603173497402</v>
      </c>
      <c r="C14" s="44">
        <v>34.095603173497402</v>
      </c>
      <c r="D14" s="44">
        <v>34.095603173497402</v>
      </c>
      <c r="E14" s="44">
        <v>27.818268668688901</v>
      </c>
      <c r="F14" s="44">
        <v>27.818268668688901</v>
      </c>
      <c r="G14" s="44">
        <v>27.818268668688901</v>
      </c>
      <c r="H14" s="44">
        <v>17.682594277413902</v>
      </c>
      <c r="I14" s="44">
        <v>21.4317301274409</v>
      </c>
      <c r="J14" s="44">
        <v>19.986805179594899</v>
      </c>
      <c r="K14" s="44">
        <v>11.352423550908901</v>
      </c>
      <c r="L14" s="44">
        <v>11.352423550908901</v>
      </c>
      <c r="M14" s="44">
        <v>11.348340242055899</v>
      </c>
      <c r="N14" s="44">
        <v>16.513088715662899</v>
      </c>
      <c r="O14" s="44">
        <v>25.681091001702999</v>
      </c>
      <c r="P14" s="44">
        <v>35.762433113817103</v>
      </c>
      <c r="Q14" s="44">
        <v>35.762433113817103</v>
      </c>
      <c r="R14" s="44">
        <v>35.762433113817103</v>
      </c>
      <c r="S14" s="44">
        <v>37.766674806222198</v>
      </c>
      <c r="T14" s="44">
        <v>37.766674806222198</v>
      </c>
      <c r="U14" s="44">
        <v>37.766674806222198</v>
      </c>
    </row>
    <row r="15" spans="1:21">
      <c r="A15" s="43" t="s">
        <v>59</v>
      </c>
      <c r="B15" s="44">
        <v>34.095603173497402</v>
      </c>
      <c r="C15" s="44">
        <v>34.095603173497402</v>
      </c>
      <c r="D15" s="44">
        <v>34.095603173497402</v>
      </c>
      <c r="E15" s="44">
        <v>27.818268668688901</v>
      </c>
      <c r="F15" s="44">
        <v>27.818268668688901</v>
      </c>
      <c r="G15" s="44">
        <v>27.818268668688901</v>
      </c>
      <c r="H15" s="44">
        <v>17.682594277413902</v>
      </c>
      <c r="I15" s="44">
        <v>21.4317301274409</v>
      </c>
      <c r="J15" s="44">
        <v>19.986805179594899</v>
      </c>
      <c r="K15" s="44">
        <v>11.352423550908901</v>
      </c>
      <c r="L15" s="44">
        <v>11.352423550908901</v>
      </c>
      <c r="M15" s="44">
        <v>11.348340242055899</v>
      </c>
      <c r="N15" s="44">
        <v>16.513088715662899</v>
      </c>
      <c r="O15" s="44">
        <v>25.681091001702999</v>
      </c>
      <c r="P15" s="44">
        <v>35.762433113817103</v>
      </c>
      <c r="Q15" s="44">
        <v>35.762433113817103</v>
      </c>
      <c r="R15" s="44">
        <v>35.762433113817103</v>
      </c>
      <c r="S15" s="44">
        <v>37.766674806222198</v>
      </c>
      <c r="T15" s="44">
        <v>37.766674806222198</v>
      </c>
      <c r="U15" s="44">
        <v>37.766674806222198</v>
      </c>
    </row>
    <row r="16" spans="1:21">
      <c r="A16" s="43" t="s">
        <v>60</v>
      </c>
      <c r="B16" s="44">
        <v>34.095603173497402</v>
      </c>
      <c r="C16" s="44">
        <v>34.095603173497402</v>
      </c>
      <c r="D16" s="44">
        <v>34.095603173497402</v>
      </c>
      <c r="E16" s="44">
        <v>27.818268668688901</v>
      </c>
      <c r="F16" s="44">
        <v>27.818268668688901</v>
      </c>
      <c r="G16" s="44">
        <v>27.818268668688901</v>
      </c>
      <c r="H16" s="44">
        <v>17.682594277413902</v>
      </c>
      <c r="I16" s="44">
        <v>21.4317301274409</v>
      </c>
      <c r="J16" s="44">
        <v>19.986805179594899</v>
      </c>
      <c r="K16" s="44">
        <v>11.352423550908901</v>
      </c>
      <c r="L16" s="44">
        <v>11.352423550908901</v>
      </c>
      <c r="M16" s="44">
        <v>11.348340242055899</v>
      </c>
      <c r="N16" s="44">
        <v>16.513088715662899</v>
      </c>
      <c r="O16" s="44">
        <v>25.681091001702999</v>
      </c>
      <c r="P16" s="44">
        <v>35.762433113817103</v>
      </c>
      <c r="Q16" s="44">
        <v>35.762433113817103</v>
      </c>
      <c r="R16" s="44">
        <v>35.762433113817103</v>
      </c>
      <c r="S16" s="44">
        <v>37.766674806222198</v>
      </c>
      <c r="T16" s="44">
        <v>37.766674806222198</v>
      </c>
      <c r="U16" s="44">
        <v>37.766674806222198</v>
      </c>
    </row>
    <row r="17" spans="1:21">
      <c r="A17" s="43" t="s">
        <v>61</v>
      </c>
      <c r="B17" s="44">
        <v>34.095603173497402</v>
      </c>
      <c r="C17" s="44">
        <v>34.095603173497402</v>
      </c>
      <c r="D17" s="44">
        <v>34.095603173497402</v>
      </c>
      <c r="E17" s="44">
        <v>27.818268668688901</v>
      </c>
      <c r="F17" s="44">
        <v>27.818268668688901</v>
      </c>
      <c r="G17" s="44">
        <v>27.818268668688901</v>
      </c>
      <c r="H17" s="44">
        <v>17.682594277413902</v>
      </c>
      <c r="I17" s="44">
        <v>21.4317301274409</v>
      </c>
      <c r="J17" s="44">
        <v>19.986805179594899</v>
      </c>
      <c r="K17" s="44">
        <v>11.352423550908901</v>
      </c>
      <c r="L17" s="44">
        <v>11.352423550908901</v>
      </c>
      <c r="M17" s="44">
        <v>11.348340242055899</v>
      </c>
      <c r="N17" s="44">
        <v>16.513088715662899</v>
      </c>
      <c r="O17" s="44">
        <v>25.681091001702999</v>
      </c>
      <c r="P17" s="44">
        <v>35.762433113817103</v>
      </c>
      <c r="Q17" s="44">
        <v>35.762433113817103</v>
      </c>
      <c r="R17" s="44">
        <v>35.762433113817103</v>
      </c>
      <c r="S17" s="44">
        <v>37.766674806222198</v>
      </c>
      <c r="T17" s="44">
        <v>37.766674806222198</v>
      </c>
      <c r="U17" s="44">
        <v>37.766674806222198</v>
      </c>
    </row>
    <row r="18" spans="1:21">
      <c r="A18" s="43" t="s">
        <v>62</v>
      </c>
      <c r="B18" s="44">
        <v>34.095603173497402</v>
      </c>
      <c r="C18" s="44">
        <v>34.095603173497402</v>
      </c>
      <c r="D18" s="44">
        <v>34.095603173497402</v>
      </c>
      <c r="E18" s="44">
        <v>27.818268668688901</v>
      </c>
      <c r="F18" s="44">
        <v>27.818268668688901</v>
      </c>
      <c r="G18" s="44">
        <v>27.818268668688901</v>
      </c>
      <c r="H18" s="44">
        <v>17.682594277413902</v>
      </c>
      <c r="I18" s="44">
        <v>21.4317301274409</v>
      </c>
      <c r="J18" s="44">
        <v>19.986805179594899</v>
      </c>
      <c r="K18" s="44">
        <v>11.352423550908901</v>
      </c>
      <c r="L18" s="44">
        <v>11.352423550908901</v>
      </c>
      <c r="M18" s="44">
        <v>11.348340242055899</v>
      </c>
      <c r="N18" s="44">
        <v>16.513088715662899</v>
      </c>
      <c r="O18" s="44">
        <v>25.681091001702999</v>
      </c>
      <c r="P18" s="44">
        <v>35.762433113817103</v>
      </c>
      <c r="Q18" s="44">
        <v>35.762433113817103</v>
      </c>
      <c r="R18" s="44">
        <v>35.762433113817103</v>
      </c>
      <c r="S18" s="44">
        <v>37.766674806222198</v>
      </c>
      <c r="T18" s="44">
        <v>37.766674806222198</v>
      </c>
      <c r="U18" s="44">
        <v>37.766674806222198</v>
      </c>
    </row>
    <row r="19" spans="1:21">
      <c r="A19" s="43" t="s">
        <v>63</v>
      </c>
      <c r="B19" s="44">
        <v>34.095603173497402</v>
      </c>
      <c r="C19" s="44">
        <v>34.095603173497402</v>
      </c>
      <c r="D19" s="44">
        <v>34.095603173497402</v>
      </c>
      <c r="E19" s="44">
        <v>27.818268668688901</v>
      </c>
      <c r="F19" s="44">
        <v>27.818268668688901</v>
      </c>
      <c r="G19" s="44">
        <v>27.818268668688901</v>
      </c>
      <c r="H19" s="44">
        <v>17.682594277413902</v>
      </c>
      <c r="I19" s="44">
        <v>21.4317301274409</v>
      </c>
      <c r="J19" s="44">
        <v>19.986805179594899</v>
      </c>
      <c r="K19" s="44">
        <v>11.352423550908901</v>
      </c>
      <c r="L19" s="44">
        <v>11.352423550908901</v>
      </c>
      <c r="M19" s="44">
        <v>11.348340242055899</v>
      </c>
      <c r="N19" s="44">
        <v>16.513088715662899</v>
      </c>
      <c r="O19" s="44">
        <v>25.681091001702999</v>
      </c>
      <c r="P19" s="44">
        <v>35.762433113817103</v>
      </c>
      <c r="Q19" s="44">
        <v>35.762433113817103</v>
      </c>
      <c r="R19" s="44">
        <v>35.762433113817103</v>
      </c>
      <c r="S19" s="44">
        <v>37.766674806222198</v>
      </c>
      <c r="T19" s="44">
        <v>37.766674806222198</v>
      </c>
      <c r="U19" s="44">
        <v>37.766674806222198</v>
      </c>
    </row>
    <row r="20" spans="1:21">
      <c r="A20" s="43" t="s">
        <v>64</v>
      </c>
      <c r="B20" s="44">
        <v>34.095603173497402</v>
      </c>
      <c r="C20" s="44">
        <v>34.095603173497402</v>
      </c>
      <c r="D20" s="44">
        <v>34.095603173497402</v>
      </c>
      <c r="E20" s="44">
        <v>27.818268668688901</v>
      </c>
      <c r="F20" s="44">
        <v>27.818268668688901</v>
      </c>
      <c r="G20" s="44">
        <v>27.818268668688901</v>
      </c>
      <c r="H20" s="44">
        <v>17.682594277413902</v>
      </c>
      <c r="I20" s="44">
        <v>21.4317301274409</v>
      </c>
      <c r="J20" s="44">
        <v>19.986805179594899</v>
      </c>
      <c r="K20" s="44">
        <v>11.352423550908901</v>
      </c>
      <c r="L20" s="44">
        <v>11.352423550908901</v>
      </c>
      <c r="M20" s="44">
        <v>11.348340242055899</v>
      </c>
      <c r="N20" s="44">
        <v>16.513088715662899</v>
      </c>
      <c r="O20" s="44">
        <v>25.681091001702999</v>
      </c>
      <c r="P20" s="44">
        <v>35.762433113817103</v>
      </c>
      <c r="Q20" s="44">
        <v>35.762433113817103</v>
      </c>
      <c r="R20" s="44">
        <v>35.762433113817103</v>
      </c>
      <c r="S20" s="44">
        <v>37.766674806222198</v>
      </c>
      <c r="T20" s="44">
        <v>37.766674806222198</v>
      </c>
      <c r="U20" s="44">
        <v>37.766674806222198</v>
      </c>
    </row>
    <row r="21" spans="1:21">
      <c r="A21" s="43" t="s">
        <v>65</v>
      </c>
      <c r="B21" s="44">
        <v>34.095603173497402</v>
      </c>
      <c r="C21" s="44">
        <v>34.095603173497402</v>
      </c>
      <c r="D21" s="44">
        <v>34.095603173497402</v>
      </c>
      <c r="E21" s="44">
        <v>27.818268668688901</v>
      </c>
      <c r="F21" s="44">
        <v>27.818268668688901</v>
      </c>
      <c r="G21" s="44">
        <v>27.818268668688901</v>
      </c>
      <c r="H21" s="44">
        <v>17.682594277413902</v>
      </c>
      <c r="I21" s="44">
        <v>21.4317301274409</v>
      </c>
      <c r="J21" s="44">
        <v>19.986805179594899</v>
      </c>
      <c r="K21" s="44">
        <v>11.352423550908901</v>
      </c>
      <c r="L21" s="44">
        <v>11.352423550908901</v>
      </c>
      <c r="M21" s="44">
        <v>11.348340242055899</v>
      </c>
      <c r="N21" s="44">
        <v>16.513088715662899</v>
      </c>
      <c r="O21" s="44">
        <v>25.681091001702999</v>
      </c>
      <c r="P21" s="44">
        <v>35.762433113817103</v>
      </c>
      <c r="Q21" s="44">
        <v>35.762433113817103</v>
      </c>
      <c r="R21" s="44">
        <v>35.762433113817103</v>
      </c>
      <c r="S21" s="44">
        <v>37.766674806222198</v>
      </c>
      <c r="T21" s="44">
        <v>37.766674806222198</v>
      </c>
      <c r="U21" s="44">
        <v>37.766674806222198</v>
      </c>
    </row>
    <row r="22" spans="1:21">
      <c r="A22" s="43" t="s">
        <v>20</v>
      </c>
      <c r="B22" s="44">
        <v>34.095603173497402</v>
      </c>
      <c r="C22" s="44">
        <v>34.095603173497402</v>
      </c>
      <c r="D22" s="44">
        <v>34.095603173497402</v>
      </c>
      <c r="E22" s="44">
        <v>27.818268668688901</v>
      </c>
      <c r="F22" s="44">
        <v>27.818268668688901</v>
      </c>
      <c r="G22" s="44">
        <v>27.818268668688901</v>
      </c>
      <c r="H22" s="44">
        <v>17.682594277413902</v>
      </c>
      <c r="I22" s="44">
        <v>21.4317301274409</v>
      </c>
      <c r="J22" s="44">
        <v>19.986805179594899</v>
      </c>
      <c r="K22" s="44">
        <v>11.352423550908901</v>
      </c>
      <c r="L22" s="44">
        <v>11.352423550908901</v>
      </c>
      <c r="M22" s="44">
        <v>11.348340242055899</v>
      </c>
      <c r="N22" s="44">
        <v>16.513088715662899</v>
      </c>
      <c r="O22" s="44">
        <v>25.681091001702999</v>
      </c>
      <c r="P22" s="44">
        <v>35.762433113817103</v>
      </c>
      <c r="Q22" s="44">
        <v>35.762433113817103</v>
      </c>
      <c r="R22" s="44">
        <v>35.762433113817103</v>
      </c>
      <c r="S22" s="44">
        <v>37.766674806222198</v>
      </c>
      <c r="T22" s="44">
        <v>37.766674806222198</v>
      </c>
      <c r="U22" s="44">
        <v>37.766674806222198</v>
      </c>
    </row>
    <row r="23" spans="1:21">
      <c r="A23" s="43" t="s">
        <v>21</v>
      </c>
      <c r="B23" s="44">
        <v>34.095603173497402</v>
      </c>
      <c r="C23" s="44">
        <v>34.095603173497402</v>
      </c>
      <c r="D23" s="44">
        <v>34.095603173497402</v>
      </c>
      <c r="E23" s="44">
        <v>27.818268668688901</v>
      </c>
      <c r="F23" s="44">
        <v>27.818268668688901</v>
      </c>
      <c r="G23" s="44">
        <v>27.818268668688901</v>
      </c>
      <c r="H23" s="44">
        <v>17.682594277413902</v>
      </c>
      <c r="I23" s="44">
        <v>21.4317301274409</v>
      </c>
      <c r="J23" s="44">
        <v>19.986805179594899</v>
      </c>
      <c r="K23" s="44">
        <v>11.352423550908901</v>
      </c>
      <c r="L23" s="44">
        <v>11.352423550908901</v>
      </c>
      <c r="M23" s="44">
        <v>11.348340242055899</v>
      </c>
      <c r="N23" s="44">
        <v>16.513088715662899</v>
      </c>
      <c r="O23" s="44">
        <v>25.681091001702999</v>
      </c>
      <c r="P23" s="44">
        <v>35.762433113817103</v>
      </c>
      <c r="Q23" s="44">
        <v>35.762433113817103</v>
      </c>
      <c r="R23" s="44">
        <v>35.762433113817103</v>
      </c>
      <c r="S23" s="44">
        <v>37.766674806222198</v>
      </c>
      <c r="T23" s="44">
        <v>37.766674806222198</v>
      </c>
      <c r="U23" s="44">
        <v>37.766674806222198</v>
      </c>
    </row>
    <row r="24" spans="1:21">
      <c r="A24" s="43" t="s">
        <v>22</v>
      </c>
      <c r="B24" s="44">
        <v>34.095603173497402</v>
      </c>
      <c r="C24" s="44">
        <v>34.095603173497402</v>
      </c>
      <c r="D24" s="44">
        <v>34.095603173497402</v>
      </c>
      <c r="E24" s="44">
        <v>27.818268668688901</v>
      </c>
      <c r="F24" s="44">
        <v>27.818268668688901</v>
      </c>
      <c r="G24" s="44">
        <v>27.818268668688901</v>
      </c>
      <c r="H24" s="44">
        <v>17.682594277413902</v>
      </c>
      <c r="I24" s="44">
        <v>21.4317301274409</v>
      </c>
      <c r="J24" s="44">
        <v>19.986805179594899</v>
      </c>
      <c r="K24" s="44">
        <v>11.352423550908901</v>
      </c>
      <c r="L24" s="44">
        <v>11.352423550908901</v>
      </c>
      <c r="M24" s="44">
        <v>11.348340242055899</v>
      </c>
      <c r="N24" s="44">
        <v>16.513088715662899</v>
      </c>
      <c r="O24" s="44">
        <v>25.681091001702999</v>
      </c>
      <c r="P24" s="44">
        <v>35.762433113817103</v>
      </c>
      <c r="Q24" s="44">
        <v>35.762433113817103</v>
      </c>
      <c r="R24" s="44">
        <v>35.762433113817103</v>
      </c>
      <c r="S24" s="44">
        <v>37.766674806222198</v>
      </c>
      <c r="T24" s="44">
        <v>37.766674806222198</v>
      </c>
      <c r="U24" s="44">
        <v>37.766674806222198</v>
      </c>
    </row>
    <row r="25" spans="1:21">
      <c r="A25" s="43" t="s">
        <v>23</v>
      </c>
      <c r="B25" s="44">
        <v>34.095603173497402</v>
      </c>
      <c r="C25" s="44">
        <v>34.095603173497402</v>
      </c>
      <c r="D25" s="44">
        <v>34.095603173497402</v>
      </c>
      <c r="E25" s="44">
        <v>27.818268668688901</v>
      </c>
      <c r="F25" s="44">
        <v>27.818268668688901</v>
      </c>
      <c r="G25" s="44">
        <v>27.818268668688901</v>
      </c>
      <c r="H25" s="44">
        <v>17.682594277413902</v>
      </c>
      <c r="I25" s="44">
        <v>21.4317301274409</v>
      </c>
      <c r="J25" s="44">
        <v>19.986805179594899</v>
      </c>
      <c r="K25" s="44">
        <v>11.352423550908901</v>
      </c>
      <c r="L25" s="44">
        <v>11.352423550908901</v>
      </c>
      <c r="M25" s="44">
        <v>11.348340242055899</v>
      </c>
      <c r="N25" s="44">
        <v>16.513088715662899</v>
      </c>
      <c r="O25" s="44">
        <v>25.681091001702999</v>
      </c>
      <c r="P25" s="44">
        <v>35.762433113817103</v>
      </c>
      <c r="Q25" s="44">
        <v>35.762433113817103</v>
      </c>
      <c r="R25" s="44">
        <v>35.762433113817103</v>
      </c>
      <c r="S25" s="44">
        <v>37.766674806222198</v>
      </c>
      <c r="T25" s="44">
        <v>37.766674806222198</v>
      </c>
      <c r="U25" s="44">
        <v>37.766674806222198</v>
      </c>
    </row>
    <row r="26" spans="1:21">
      <c r="A26" s="43" t="s">
        <v>24</v>
      </c>
      <c r="B26" s="44">
        <v>34.095603173497402</v>
      </c>
      <c r="C26" s="44">
        <v>34.095603173497402</v>
      </c>
      <c r="D26" s="44">
        <v>34.095603173497402</v>
      </c>
      <c r="E26" s="44">
        <v>27.818268668688901</v>
      </c>
      <c r="F26" s="44">
        <v>27.818268668688901</v>
      </c>
      <c r="G26" s="44">
        <v>27.818268668688901</v>
      </c>
      <c r="H26" s="44">
        <v>17.682594277413902</v>
      </c>
      <c r="I26" s="44">
        <v>21.4317301274409</v>
      </c>
      <c r="J26" s="44">
        <v>19.986805179594899</v>
      </c>
      <c r="K26" s="44">
        <v>11.352423550908901</v>
      </c>
      <c r="L26" s="44">
        <v>11.352423550908901</v>
      </c>
      <c r="M26" s="44">
        <v>11.348340242055899</v>
      </c>
      <c r="N26" s="44">
        <v>16.513088715662899</v>
      </c>
      <c r="O26" s="44">
        <v>25.681091001702999</v>
      </c>
      <c r="P26" s="44">
        <v>35.762433113817103</v>
      </c>
      <c r="Q26" s="44">
        <v>35.762433113817103</v>
      </c>
      <c r="R26" s="44">
        <v>35.762433113817103</v>
      </c>
      <c r="S26" s="44">
        <v>37.766674806222198</v>
      </c>
      <c r="T26" s="44">
        <v>37.766674806222198</v>
      </c>
      <c r="U26" s="44">
        <v>37.766674806222198</v>
      </c>
    </row>
    <row r="27" spans="1:21">
      <c r="A27" s="43" t="s">
        <v>25</v>
      </c>
      <c r="B27" s="44">
        <v>34.095603173497402</v>
      </c>
      <c r="C27" s="44">
        <v>34.095603173497402</v>
      </c>
      <c r="D27" s="44">
        <v>34.095603173497402</v>
      </c>
      <c r="E27" s="44">
        <v>27.818268668688901</v>
      </c>
      <c r="F27" s="44">
        <v>27.818268668688901</v>
      </c>
      <c r="G27" s="44">
        <v>27.818268668688901</v>
      </c>
      <c r="H27" s="44">
        <v>17.682594277413902</v>
      </c>
      <c r="I27" s="44">
        <v>21.4317301274409</v>
      </c>
      <c r="J27" s="44">
        <v>19.986805179594899</v>
      </c>
      <c r="K27" s="44">
        <v>11.352423550908901</v>
      </c>
      <c r="L27" s="44">
        <v>11.352423550908901</v>
      </c>
      <c r="M27" s="44">
        <v>11.348340242055899</v>
      </c>
      <c r="N27" s="44">
        <v>16.513088715662899</v>
      </c>
      <c r="O27" s="44">
        <v>25.681091001702999</v>
      </c>
      <c r="P27" s="44">
        <v>35.762433113817103</v>
      </c>
      <c r="Q27" s="44">
        <v>35.762433113817103</v>
      </c>
      <c r="R27" s="44">
        <v>35.762433113817103</v>
      </c>
      <c r="S27" s="44">
        <v>37.766674806222198</v>
      </c>
      <c r="T27" s="44">
        <v>37.766674806222198</v>
      </c>
      <c r="U27" s="44">
        <v>37.766674806222198</v>
      </c>
    </row>
    <row r="28" spans="1:21">
      <c r="A28" s="43" t="s">
        <v>26</v>
      </c>
      <c r="B28" s="44">
        <v>34.095603173497402</v>
      </c>
      <c r="C28" s="44">
        <v>34.095603173497402</v>
      </c>
      <c r="D28" s="44">
        <v>34.095603173497402</v>
      </c>
      <c r="E28" s="44">
        <v>27.818268668688901</v>
      </c>
      <c r="F28" s="44">
        <v>27.818268668688901</v>
      </c>
      <c r="G28" s="44">
        <v>27.818268668688901</v>
      </c>
      <c r="H28" s="44">
        <v>17.682594277413902</v>
      </c>
      <c r="I28" s="44">
        <v>21.4317301274409</v>
      </c>
      <c r="J28" s="44">
        <v>19.986805179594899</v>
      </c>
      <c r="K28" s="44">
        <v>11.352423550908901</v>
      </c>
      <c r="L28" s="44">
        <v>11.352423550908901</v>
      </c>
      <c r="M28" s="44">
        <v>11.348340242055899</v>
      </c>
      <c r="N28" s="44">
        <v>16.513088715662899</v>
      </c>
      <c r="O28" s="44">
        <v>25.681091001702999</v>
      </c>
      <c r="P28" s="44">
        <v>35.762433113817103</v>
      </c>
      <c r="Q28" s="44">
        <v>35.762433113817103</v>
      </c>
      <c r="R28" s="44">
        <v>35.762433113817103</v>
      </c>
      <c r="S28" s="44">
        <v>37.766674806222198</v>
      </c>
      <c r="T28" s="44">
        <v>37.766674806222198</v>
      </c>
      <c r="U28" s="44">
        <v>37.766674806222198</v>
      </c>
    </row>
    <row r="29" spans="1:21">
      <c r="A29" s="43" t="s">
        <v>27</v>
      </c>
      <c r="B29" s="44">
        <v>34.095603173497402</v>
      </c>
      <c r="C29" s="44">
        <v>34.095603173497402</v>
      </c>
      <c r="D29" s="44">
        <v>34.095603173497402</v>
      </c>
      <c r="E29" s="44">
        <v>27.818268668688901</v>
      </c>
      <c r="F29" s="44">
        <v>27.818268668688901</v>
      </c>
      <c r="G29" s="44">
        <v>27.818268668688901</v>
      </c>
      <c r="H29" s="44">
        <v>17.682594277413902</v>
      </c>
      <c r="I29" s="44">
        <v>21.4317301274409</v>
      </c>
      <c r="J29" s="44">
        <v>19.986805179594899</v>
      </c>
      <c r="K29" s="44">
        <v>11.352423550908901</v>
      </c>
      <c r="L29" s="44">
        <v>11.352423550908901</v>
      </c>
      <c r="M29" s="44">
        <v>11.348340242055899</v>
      </c>
      <c r="N29" s="44">
        <v>16.513088715662899</v>
      </c>
      <c r="O29" s="44">
        <v>25.681091001702999</v>
      </c>
      <c r="P29" s="44">
        <v>35.762433113817103</v>
      </c>
      <c r="Q29" s="44">
        <v>35.762433113817103</v>
      </c>
      <c r="R29" s="44">
        <v>35.762433113817103</v>
      </c>
      <c r="S29" s="44">
        <v>37.766674806222198</v>
      </c>
      <c r="T29" s="44">
        <v>37.766674806222198</v>
      </c>
      <c r="U29" s="44">
        <v>37.766674806222198</v>
      </c>
    </row>
    <row r="30" spans="1:21">
      <c r="A30" s="43" t="s">
        <v>28</v>
      </c>
      <c r="B30" s="44">
        <v>34.095603173497402</v>
      </c>
      <c r="C30" s="44">
        <v>34.095603173497402</v>
      </c>
      <c r="D30" s="44">
        <v>34.095603173497402</v>
      </c>
      <c r="E30" s="44">
        <v>27.818268668688901</v>
      </c>
      <c r="F30" s="44">
        <v>27.818268668688901</v>
      </c>
      <c r="G30" s="44">
        <v>27.818268668688901</v>
      </c>
      <c r="H30" s="44">
        <v>17.682594277413902</v>
      </c>
      <c r="I30" s="44">
        <v>21.4317301274409</v>
      </c>
      <c r="J30" s="44">
        <v>19.986805179594899</v>
      </c>
      <c r="K30" s="44">
        <v>11.352423550908901</v>
      </c>
      <c r="L30" s="44">
        <v>11.352423550908901</v>
      </c>
      <c r="M30" s="44">
        <v>11.348340242055899</v>
      </c>
      <c r="N30" s="44">
        <v>16.513088715662899</v>
      </c>
      <c r="O30" s="44">
        <v>25.681091001702999</v>
      </c>
      <c r="P30" s="44">
        <v>35.762433113817103</v>
      </c>
      <c r="Q30" s="44">
        <v>35.762433113817103</v>
      </c>
      <c r="R30" s="44">
        <v>35.762433113817103</v>
      </c>
      <c r="S30" s="44">
        <v>37.766674806222198</v>
      </c>
      <c r="T30" s="44">
        <v>37.766674806222198</v>
      </c>
      <c r="U30" s="44">
        <v>37.766674806222198</v>
      </c>
    </row>
    <row r="31" spans="1:21">
      <c r="A31" s="43" t="s">
        <v>29</v>
      </c>
      <c r="B31" s="44">
        <v>34.095603173497402</v>
      </c>
      <c r="C31" s="44">
        <v>34.095603173497402</v>
      </c>
      <c r="D31" s="44">
        <v>34.095603173497402</v>
      </c>
      <c r="E31" s="44">
        <v>27.818268668688901</v>
      </c>
      <c r="F31" s="44">
        <v>27.818268668688901</v>
      </c>
      <c r="G31" s="44">
        <v>27.818268668688901</v>
      </c>
      <c r="H31" s="44">
        <v>17.682594277413902</v>
      </c>
      <c r="I31" s="44">
        <v>21.4317301274409</v>
      </c>
      <c r="J31" s="44">
        <v>19.986805179594899</v>
      </c>
      <c r="K31" s="44">
        <v>11.352423550908901</v>
      </c>
      <c r="L31" s="44">
        <v>11.352423550908901</v>
      </c>
      <c r="M31" s="44">
        <v>11.348340242055899</v>
      </c>
      <c r="N31" s="44">
        <v>16.513088715662899</v>
      </c>
      <c r="O31" s="44">
        <v>25.681091001702999</v>
      </c>
      <c r="P31" s="44">
        <v>35.762433113817103</v>
      </c>
      <c r="Q31" s="44">
        <v>35.762433113817103</v>
      </c>
      <c r="R31" s="44">
        <v>35.762433113817103</v>
      </c>
      <c r="S31" s="44">
        <v>37.766674806222198</v>
      </c>
      <c r="T31" s="44">
        <v>37.766674806222198</v>
      </c>
      <c r="U31" s="44">
        <v>37.766674806222198</v>
      </c>
    </row>
    <row r="32" spans="1:21">
      <c r="A32" s="43" t="s">
        <v>30</v>
      </c>
      <c r="B32" s="44">
        <v>34.095603173497402</v>
      </c>
      <c r="C32" s="44">
        <v>34.095603173497402</v>
      </c>
      <c r="D32" s="44">
        <v>34.095603173497402</v>
      </c>
      <c r="E32" s="44">
        <v>27.818268668688901</v>
      </c>
      <c r="F32" s="44">
        <v>27.818268668688901</v>
      </c>
      <c r="G32" s="44">
        <v>27.818268668688901</v>
      </c>
      <c r="H32" s="44">
        <v>17.682594277413902</v>
      </c>
      <c r="I32" s="44">
        <v>21.4317301274409</v>
      </c>
      <c r="J32" s="44">
        <v>19.986805179594899</v>
      </c>
      <c r="K32" s="44">
        <v>11.352423550908901</v>
      </c>
      <c r="L32" s="44">
        <v>11.352423550908901</v>
      </c>
      <c r="M32" s="44">
        <v>11.348340242055899</v>
      </c>
      <c r="N32" s="44">
        <v>16.513088715662899</v>
      </c>
      <c r="O32" s="44">
        <v>25.681091001702999</v>
      </c>
      <c r="P32" s="44">
        <v>35.762433113817103</v>
      </c>
      <c r="Q32" s="44">
        <v>35.762433113817103</v>
      </c>
      <c r="R32" s="44">
        <v>35.762433113817103</v>
      </c>
      <c r="S32" s="44">
        <v>37.766674806222198</v>
      </c>
      <c r="T32" s="44">
        <v>37.766674806222198</v>
      </c>
      <c r="U32" s="44">
        <v>37.766674806222198</v>
      </c>
    </row>
    <row r="33" spans="1:21">
      <c r="A33" s="43" t="s">
        <v>31</v>
      </c>
      <c r="B33" s="44">
        <v>34.095603173497402</v>
      </c>
      <c r="C33" s="44">
        <v>34.095603173497402</v>
      </c>
      <c r="D33" s="44">
        <v>34.095603173497402</v>
      </c>
      <c r="E33" s="44">
        <v>27.818268668688901</v>
      </c>
      <c r="F33" s="44">
        <v>27.818268668688901</v>
      </c>
      <c r="G33" s="44">
        <v>27.818268668688901</v>
      </c>
      <c r="H33" s="44">
        <v>17.682594277413902</v>
      </c>
      <c r="I33" s="44">
        <v>21.4317301274409</v>
      </c>
      <c r="J33" s="44">
        <v>19.986805179594899</v>
      </c>
      <c r="K33" s="44">
        <v>11.352423550908901</v>
      </c>
      <c r="L33" s="44">
        <v>11.352423550908901</v>
      </c>
      <c r="M33" s="44">
        <v>11.348340242055899</v>
      </c>
      <c r="N33" s="44">
        <v>16.513088715662899</v>
      </c>
      <c r="O33" s="44">
        <v>25.681091001702999</v>
      </c>
      <c r="P33" s="44">
        <v>35.762433113817103</v>
      </c>
      <c r="Q33" s="44">
        <v>35.762433113817103</v>
      </c>
      <c r="R33" s="44">
        <v>35.762433113817103</v>
      </c>
      <c r="S33" s="44">
        <v>37.766674806222198</v>
      </c>
      <c r="T33" s="44">
        <v>37.766674806222198</v>
      </c>
      <c r="U33" s="44">
        <v>37.766674806222198</v>
      </c>
    </row>
    <row r="34" spans="1:21">
      <c r="A34" s="43" t="s">
        <v>32</v>
      </c>
      <c r="B34" s="44">
        <v>34.095603173497402</v>
      </c>
      <c r="C34" s="44">
        <v>34.095603173497402</v>
      </c>
      <c r="D34" s="44">
        <v>34.095603173497402</v>
      </c>
      <c r="E34" s="44">
        <v>27.818268668688901</v>
      </c>
      <c r="F34" s="44">
        <v>27.818268668688901</v>
      </c>
      <c r="G34" s="44">
        <v>27.818268668688901</v>
      </c>
      <c r="H34" s="44">
        <v>17.682594277413902</v>
      </c>
      <c r="I34" s="44">
        <v>21.4317301274409</v>
      </c>
      <c r="J34" s="44">
        <v>19.986805179594899</v>
      </c>
      <c r="K34" s="44">
        <v>11.352423550908901</v>
      </c>
      <c r="L34" s="44">
        <v>11.352423550908901</v>
      </c>
      <c r="M34" s="44">
        <v>11.348340242055899</v>
      </c>
      <c r="N34" s="44">
        <v>16.513088715662899</v>
      </c>
      <c r="O34" s="44">
        <v>25.681091001702999</v>
      </c>
      <c r="P34" s="44">
        <v>35.762433113817103</v>
      </c>
      <c r="Q34" s="44">
        <v>35.762433113817103</v>
      </c>
      <c r="R34" s="44">
        <v>35.762433113817103</v>
      </c>
      <c r="S34" s="44">
        <v>37.766674806222198</v>
      </c>
      <c r="T34" s="44">
        <v>37.766674806222198</v>
      </c>
      <c r="U34" s="44">
        <v>37.766674806222198</v>
      </c>
    </row>
    <row r="35" spans="1:21">
      <c r="A35" s="43" t="s">
        <v>33</v>
      </c>
      <c r="B35" s="44">
        <v>34.095603173497402</v>
      </c>
      <c r="C35" s="44">
        <v>34.095603173497402</v>
      </c>
      <c r="D35" s="44">
        <v>34.095603173497402</v>
      </c>
      <c r="E35" s="44">
        <v>27.818268668688901</v>
      </c>
      <c r="F35" s="44">
        <v>27.818268668688901</v>
      </c>
      <c r="G35" s="44">
        <v>27.818268668688901</v>
      </c>
      <c r="H35" s="44">
        <v>17.682594277413902</v>
      </c>
      <c r="I35" s="44">
        <v>21.4317301274409</v>
      </c>
      <c r="J35" s="44">
        <v>19.986805179594899</v>
      </c>
      <c r="K35" s="44">
        <v>11.352423550908901</v>
      </c>
      <c r="L35" s="44">
        <v>11.352423550908901</v>
      </c>
      <c r="M35" s="44">
        <v>11.348340242055899</v>
      </c>
      <c r="N35" s="44">
        <v>16.513088715662899</v>
      </c>
      <c r="O35" s="44">
        <v>25.681091001702999</v>
      </c>
      <c r="P35" s="44">
        <v>35.762433113817103</v>
      </c>
      <c r="Q35" s="44">
        <v>35.762433113817103</v>
      </c>
      <c r="R35" s="44">
        <v>35.762433113817103</v>
      </c>
      <c r="S35" s="44">
        <v>37.766674806222198</v>
      </c>
      <c r="T35" s="44">
        <v>37.766674806222198</v>
      </c>
      <c r="U35" s="44">
        <v>37.766674806222198</v>
      </c>
    </row>
    <row r="36" spans="1:21">
      <c r="A36" s="43" t="s">
        <v>34</v>
      </c>
      <c r="B36" s="44">
        <v>34.095603173497402</v>
      </c>
      <c r="C36" s="44">
        <v>34.095603173497402</v>
      </c>
      <c r="D36" s="44">
        <v>34.095603173497402</v>
      </c>
      <c r="E36" s="44">
        <v>27.818268668688901</v>
      </c>
      <c r="F36" s="44">
        <v>27.818268668688901</v>
      </c>
      <c r="G36" s="44">
        <v>27.818268668688901</v>
      </c>
      <c r="H36" s="44">
        <v>17.682594277413902</v>
      </c>
      <c r="I36" s="44">
        <v>21.4317301274409</v>
      </c>
      <c r="J36" s="44">
        <v>19.986805179594899</v>
      </c>
      <c r="K36" s="44">
        <v>11.352423550908901</v>
      </c>
      <c r="L36" s="44">
        <v>11.352423550908901</v>
      </c>
      <c r="M36" s="44">
        <v>11.348340242055899</v>
      </c>
      <c r="N36" s="44">
        <v>16.513088715662899</v>
      </c>
      <c r="O36" s="44">
        <v>25.681091001702999</v>
      </c>
      <c r="P36" s="44">
        <v>35.762433113817103</v>
      </c>
      <c r="Q36" s="44">
        <v>35.762433113817103</v>
      </c>
      <c r="R36" s="44">
        <v>35.762433113817103</v>
      </c>
      <c r="S36" s="44">
        <v>37.766674806222198</v>
      </c>
      <c r="T36" s="44">
        <v>37.766674806222198</v>
      </c>
      <c r="U36" s="44">
        <v>37.766674806222198</v>
      </c>
    </row>
    <row r="37" spans="1:21">
      <c r="A37" s="43" t="s">
        <v>35</v>
      </c>
      <c r="B37" s="44">
        <v>34.095603173497402</v>
      </c>
      <c r="C37" s="44">
        <v>34.095603173497402</v>
      </c>
      <c r="D37" s="44">
        <v>34.095603173497402</v>
      </c>
      <c r="E37" s="44">
        <v>27.818268668688901</v>
      </c>
      <c r="F37" s="44">
        <v>27.818268668688901</v>
      </c>
      <c r="G37" s="44">
        <v>27.818268668688901</v>
      </c>
      <c r="H37" s="44">
        <v>17.682594277413902</v>
      </c>
      <c r="I37" s="44">
        <v>21.4317301274409</v>
      </c>
      <c r="J37" s="44">
        <v>19.986805179594899</v>
      </c>
      <c r="K37" s="44">
        <v>11.352423550908901</v>
      </c>
      <c r="L37" s="44">
        <v>11.352423550908901</v>
      </c>
      <c r="M37" s="44">
        <v>11.348340242055899</v>
      </c>
      <c r="N37" s="44">
        <v>16.513088715662899</v>
      </c>
      <c r="O37" s="44">
        <v>25.681091001702999</v>
      </c>
      <c r="P37" s="44">
        <v>35.762433113817103</v>
      </c>
      <c r="Q37" s="44">
        <v>35.762433113817103</v>
      </c>
      <c r="R37" s="44">
        <v>35.762433113817103</v>
      </c>
      <c r="S37" s="44">
        <v>37.766674806222198</v>
      </c>
      <c r="T37" s="44">
        <v>37.766674806222198</v>
      </c>
      <c r="U37" s="44">
        <v>37.766674806222198</v>
      </c>
    </row>
    <row r="38" spans="1:21">
      <c r="A38" s="43" t="s">
        <v>36</v>
      </c>
      <c r="B38" s="44">
        <v>34.095603173497402</v>
      </c>
      <c r="C38" s="44">
        <v>34.095603173497402</v>
      </c>
      <c r="D38" s="44">
        <v>34.095603173497402</v>
      </c>
      <c r="E38" s="44">
        <v>27.818268668688901</v>
      </c>
      <c r="F38" s="44">
        <v>27.818268668688901</v>
      </c>
      <c r="G38" s="44">
        <v>27.818268668688901</v>
      </c>
      <c r="H38" s="44">
        <v>17.682594277413902</v>
      </c>
      <c r="I38" s="44">
        <v>21.4317301274409</v>
      </c>
      <c r="J38" s="44">
        <v>19.986805179594899</v>
      </c>
      <c r="K38" s="44">
        <v>11.352423550908901</v>
      </c>
      <c r="L38" s="44">
        <v>11.352423550908901</v>
      </c>
      <c r="M38" s="44">
        <v>11.348340242055899</v>
      </c>
      <c r="N38" s="44">
        <v>16.513088715662899</v>
      </c>
      <c r="O38" s="44">
        <v>25.681091001702999</v>
      </c>
      <c r="P38" s="44">
        <v>35.762433113817103</v>
      </c>
      <c r="Q38" s="44">
        <v>35.762433113817103</v>
      </c>
      <c r="R38" s="44">
        <v>35.762433113817103</v>
      </c>
      <c r="S38" s="44">
        <v>37.766674806222198</v>
      </c>
      <c r="T38" s="44">
        <v>37.766674806222198</v>
      </c>
      <c r="U38" s="44">
        <v>37.766674806222198</v>
      </c>
    </row>
    <row r="39" spans="1:21">
      <c r="A39" s="43" t="s">
        <v>37</v>
      </c>
      <c r="B39" s="44">
        <v>34.095603173497402</v>
      </c>
      <c r="C39" s="44">
        <v>34.095603173497402</v>
      </c>
      <c r="D39" s="44">
        <v>34.095603173497402</v>
      </c>
      <c r="E39" s="44">
        <v>27.818268668688901</v>
      </c>
      <c r="F39" s="44">
        <v>27.818268668688901</v>
      </c>
      <c r="G39" s="44">
        <v>27.818268668688901</v>
      </c>
      <c r="H39" s="44">
        <v>17.682594277413902</v>
      </c>
      <c r="I39" s="44">
        <v>21.4317301274409</v>
      </c>
      <c r="J39" s="44">
        <v>19.986805179594899</v>
      </c>
      <c r="K39" s="44">
        <v>11.352423550908901</v>
      </c>
      <c r="L39" s="44">
        <v>11.352423550908901</v>
      </c>
      <c r="M39" s="44">
        <v>11.348340242055899</v>
      </c>
      <c r="N39" s="44">
        <v>16.513088715662899</v>
      </c>
      <c r="O39" s="44">
        <v>25.681091001702999</v>
      </c>
      <c r="P39" s="44">
        <v>35.762433113817103</v>
      </c>
      <c r="Q39" s="44">
        <v>35.762433113817103</v>
      </c>
      <c r="R39" s="44">
        <v>35.762433113817103</v>
      </c>
      <c r="S39" s="44">
        <v>37.766674806222198</v>
      </c>
      <c r="T39" s="44">
        <v>37.766674806222198</v>
      </c>
      <c r="U39" s="44">
        <v>37.766674806222198</v>
      </c>
    </row>
    <row r="40" spans="1:21">
      <c r="A40" s="43" t="s">
        <v>38</v>
      </c>
      <c r="B40" s="44">
        <v>34.095603173497402</v>
      </c>
      <c r="C40" s="44">
        <v>34.095603173497402</v>
      </c>
      <c r="D40" s="44">
        <v>34.095603173497402</v>
      </c>
      <c r="E40" s="44">
        <v>27.818268668688901</v>
      </c>
      <c r="F40" s="44">
        <v>27.818268668688901</v>
      </c>
      <c r="G40" s="44">
        <v>27.818268668688901</v>
      </c>
      <c r="H40" s="44">
        <v>17.682594277413902</v>
      </c>
      <c r="I40" s="44">
        <v>21.4317301274409</v>
      </c>
      <c r="J40" s="44">
        <v>19.986805179594899</v>
      </c>
      <c r="K40" s="44">
        <v>11.352423550908901</v>
      </c>
      <c r="L40" s="44">
        <v>11.352423550908901</v>
      </c>
      <c r="M40" s="44">
        <v>11.348340242055899</v>
      </c>
      <c r="N40" s="44">
        <v>16.513088715662899</v>
      </c>
      <c r="O40" s="44">
        <v>25.681091001702999</v>
      </c>
      <c r="P40" s="44">
        <v>35.762433113817103</v>
      </c>
      <c r="Q40" s="44">
        <v>35.762433113817103</v>
      </c>
      <c r="R40" s="44">
        <v>35.762433113817103</v>
      </c>
      <c r="S40" s="44">
        <v>37.766674806222198</v>
      </c>
      <c r="T40" s="44">
        <v>37.766674806222198</v>
      </c>
      <c r="U40" s="44">
        <v>37.766674806222198</v>
      </c>
    </row>
    <row r="41" spans="1:21">
      <c r="A41" s="43" t="s">
        <v>39</v>
      </c>
      <c r="B41" s="44">
        <v>34.095603173497402</v>
      </c>
      <c r="C41" s="44">
        <v>34.095603173497402</v>
      </c>
      <c r="D41" s="44">
        <v>34.095603173497402</v>
      </c>
      <c r="E41" s="44">
        <v>27.818268668688901</v>
      </c>
      <c r="F41" s="44">
        <v>27.818268668688901</v>
      </c>
      <c r="G41" s="44">
        <v>27.818268668688901</v>
      </c>
      <c r="H41" s="44">
        <v>17.682594277413902</v>
      </c>
      <c r="I41" s="44">
        <v>21.4317301274409</v>
      </c>
      <c r="J41" s="44">
        <v>19.986805179594899</v>
      </c>
      <c r="K41" s="44">
        <v>11.352423550908901</v>
      </c>
      <c r="L41" s="44">
        <v>11.352423550908901</v>
      </c>
      <c r="M41" s="44">
        <v>11.348340242055899</v>
      </c>
      <c r="N41" s="44">
        <v>16.513088715662899</v>
      </c>
      <c r="O41" s="44">
        <v>25.681091001702999</v>
      </c>
      <c r="P41" s="44">
        <v>35.762433113817103</v>
      </c>
      <c r="Q41" s="44">
        <v>35.762433113817103</v>
      </c>
      <c r="R41" s="44">
        <v>35.762433113817103</v>
      </c>
      <c r="S41" s="44">
        <v>37.766674806222198</v>
      </c>
      <c r="T41" s="44">
        <v>37.766674806222198</v>
      </c>
      <c r="U41" s="44">
        <v>37.766674806222198</v>
      </c>
    </row>
    <row r="42" spans="1:21">
      <c r="A42" s="43" t="s">
        <v>40</v>
      </c>
      <c r="B42" s="44">
        <v>34.095603173497402</v>
      </c>
      <c r="C42" s="44">
        <v>34.095603173497402</v>
      </c>
      <c r="D42" s="44">
        <v>34.095603173497402</v>
      </c>
      <c r="E42" s="44">
        <v>27.818268668688901</v>
      </c>
      <c r="F42" s="44">
        <v>27.818268668688901</v>
      </c>
      <c r="G42" s="44">
        <v>27.818268668688901</v>
      </c>
      <c r="H42" s="44">
        <v>17.682594277413902</v>
      </c>
      <c r="I42" s="44">
        <v>21.4317301274409</v>
      </c>
      <c r="J42" s="44">
        <v>19.986805179594899</v>
      </c>
      <c r="K42" s="44">
        <v>11.352423550908901</v>
      </c>
      <c r="L42" s="44">
        <v>11.352423550908901</v>
      </c>
      <c r="M42" s="44">
        <v>11.348340242055899</v>
      </c>
      <c r="N42" s="44">
        <v>16.513088715662899</v>
      </c>
      <c r="O42" s="44">
        <v>25.681091001702999</v>
      </c>
      <c r="P42" s="44">
        <v>35.762433113817103</v>
      </c>
      <c r="Q42" s="44">
        <v>35.762433113817103</v>
      </c>
      <c r="R42" s="44">
        <v>35.762433113817103</v>
      </c>
      <c r="S42" s="44">
        <v>37.766674806222198</v>
      </c>
      <c r="T42" s="44">
        <v>37.766674806222198</v>
      </c>
      <c r="U42" s="44">
        <v>37.766674806222198</v>
      </c>
    </row>
    <row r="43" spans="1:21">
      <c r="A43" s="43" t="s">
        <v>41</v>
      </c>
      <c r="B43" s="44">
        <v>34.095603173497402</v>
      </c>
      <c r="C43" s="44">
        <v>34.095603173497402</v>
      </c>
      <c r="D43" s="44">
        <v>34.095603173497402</v>
      </c>
      <c r="E43" s="44">
        <v>27.818268668688901</v>
      </c>
      <c r="F43" s="44">
        <v>27.818268668688901</v>
      </c>
      <c r="G43" s="44">
        <v>27.818268668688901</v>
      </c>
      <c r="H43" s="44">
        <v>17.682594277413902</v>
      </c>
      <c r="I43" s="44">
        <v>21.4317301274409</v>
      </c>
      <c r="J43" s="44">
        <v>19.986805179594899</v>
      </c>
      <c r="K43" s="44">
        <v>11.352423550908901</v>
      </c>
      <c r="L43" s="44">
        <v>11.352423550908901</v>
      </c>
      <c r="M43" s="44">
        <v>11.348340242055899</v>
      </c>
      <c r="N43" s="44">
        <v>16.513088715662899</v>
      </c>
      <c r="O43" s="44">
        <v>25.681091001702999</v>
      </c>
      <c r="P43" s="44">
        <v>35.762433113817103</v>
      </c>
      <c r="Q43" s="44">
        <v>35.762433113817103</v>
      </c>
      <c r="R43" s="44">
        <v>35.762433113817103</v>
      </c>
      <c r="S43" s="44">
        <v>37.766674806222198</v>
      </c>
      <c r="T43" s="44">
        <v>37.766674806222198</v>
      </c>
      <c r="U43" s="44">
        <v>37.766674806222198</v>
      </c>
    </row>
    <row r="44" spans="1:21">
      <c r="A44" s="43" t="s">
        <v>42</v>
      </c>
      <c r="B44" s="44">
        <v>34.095603173497402</v>
      </c>
      <c r="C44" s="44">
        <v>34.095603173497402</v>
      </c>
      <c r="D44" s="44">
        <v>34.095603173497402</v>
      </c>
      <c r="E44" s="44">
        <v>27.818268668688901</v>
      </c>
      <c r="F44" s="44">
        <v>27.818268668688901</v>
      </c>
      <c r="G44" s="44">
        <v>27.818268668688901</v>
      </c>
      <c r="H44" s="44">
        <v>17.682594277413902</v>
      </c>
      <c r="I44" s="44">
        <v>21.4317301274409</v>
      </c>
      <c r="J44" s="44">
        <v>19.986805179594899</v>
      </c>
      <c r="K44" s="44">
        <v>11.352423550908901</v>
      </c>
      <c r="L44" s="44">
        <v>11.352423550908901</v>
      </c>
      <c r="M44" s="44">
        <v>11.348340242055899</v>
      </c>
      <c r="N44" s="44">
        <v>16.513088715662899</v>
      </c>
      <c r="O44" s="44">
        <v>25.681091001702999</v>
      </c>
      <c r="P44" s="44">
        <v>35.762433113817103</v>
      </c>
      <c r="Q44" s="44">
        <v>35.762433113817103</v>
      </c>
      <c r="R44" s="44">
        <v>35.762433113817103</v>
      </c>
      <c r="S44" s="44">
        <v>37.766674806222198</v>
      </c>
      <c r="T44" s="44">
        <v>37.766674806222198</v>
      </c>
      <c r="U44" s="44">
        <v>37.766674806222198</v>
      </c>
    </row>
    <row r="45" spans="1:21">
      <c r="A45" s="43" t="s">
        <v>43</v>
      </c>
      <c r="B45" s="44">
        <v>34.095603173497402</v>
      </c>
      <c r="C45" s="44">
        <v>34.095603173497402</v>
      </c>
      <c r="D45" s="44">
        <v>34.095603173497402</v>
      </c>
      <c r="E45" s="44">
        <v>27.818268668688901</v>
      </c>
      <c r="F45" s="44">
        <v>27.818268668688901</v>
      </c>
      <c r="G45" s="44">
        <v>27.818268668688901</v>
      </c>
      <c r="H45" s="44">
        <v>17.682594277413902</v>
      </c>
      <c r="I45" s="44">
        <v>21.4317301274409</v>
      </c>
      <c r="J45" s="44">
        <v>19.986805179594899</v>
      </c>
      <c r="K45" s="44">
        <v>11.352423550908901</v>
      </c>
      <c r="L45" s="44">
        <v>11.352423550908901</v>
      </c>
      <c r="M45" s="44">
        <v>11.348340242055899</v>
      </c>
      <c r="N45" s="44">
        <v>16.513088715662899</v>
      </c>
      <c r="O45" s="44">
        <v>25.681091001702999</v>
      </c>
      <c r="P45" s="44">
        <v>35.762433113817103</v>
      </c>
      <c r="Q45" s="44">
        <v>35.762433113817103</v>
      </c>
      <c r="R45" s="44">
        <v>35.762433113817103</v>
      </c>
      <c r="S45" s="44">
        <v>37.766674806222198</v>
      </c>
      <c r="T45" s="44">
        <v>37.766674806222198</v>
      </c>
      <c r="U45" s="44">
        <v>37.766674806222198</v>
      </c>
    </row>
    <row r="46" spans="1:21">
      <c r="A46" s="43" t="s">
        <v>44</v>
      </c>
      <c r="B46" s="44">
        <v>34.095603173497402</v>
      </c>
      <c r="C46" s="44">
        <v>34.095603173497402</v>
      </c>
      <c r="D46" s="44">
        <v>34.095603173497402</v>
      </c>
      <c r="E46" s="44">
        <v>27.818268668688901</v>
      </c>
      <c r="F46" s="44">
        <v>27.818268668688901</v>
      </c>
      <c r="G46" s="44">
        <v>27.818268668688901</v>
      </c>
      <c r="H46" s="44">
        <v>17.682594277413902</v>
      </c>
      <c r="I46" s="44">
        <v>21.4317301274409</v>
      </c>
      <c r="J46" s="44">
        <v>19.986805179594899</v>
      </c>
      <c r="K46" s="44">
        <v>11.352423550908901</v>
      </c>
      <c r="L46" s="44">
        <v>11.352423550908901</v>
      </c>
      <c r="M46" s="44">
        <v>11.348340242055899</v>
      </c>
      <c r="N46" s="44">
        <v>16.513088715662899</v>
      </c>
      <c r="O46" s="44">
        <v>25.681091001702999</v>
      </c>
      <c r="P46" s="44">
        <v>35.762433113817103</v>
      </c>
      <c r="Q46" s="44">
        <v>35.762433113817103</v>
      </c>
      <c r="R46" s="44">
        <v>35.762433113817103</v>
      </c>
      <c r="S46" s="44">
        <v>37.766674806222198</v>
      </c>
      <c r="T46" s="44">
        <v>37.766674806222198</v>
      </c>
      <c r="U46" s="44">
        <v>37.766674806222198</v>
      </c>
    </row>
    <row r="47" spans="1:21">
      <c r="A47" s="43" t="s">
        <v>45</v>
      </c>
      <c r="B47" s="44">
        <v>34.095603173497402</v>
      </c>
      <c r="C47" s="44">
        <v>34.095603173497402</v>
      </c>
      <c r="D47" s="44">
        <v>34.095603173497402</v>
      </c>
      <c r="E47" s="44">
        <v>27.818268668688901</v>
      </c>
      <c r="F47" s="44">
        <v>27.818268668688901</v>
      </c>
      <c r="G47" s="44">
        <v>27.818268668688901</v>
      </c>
      <c r="H47" s="44">
        <v>17.682594277413902</v>
      </c>
      <c r="I47" s="44">
        <v>21.4317301274409</v>
      </c>
      <c r="J47" s="44">
        <v>19.986805179594899</v>
      </c>
      <c r="K47" s="44">
        <v>11.352423550908901</v>
      </c>
      <c r="L47" s="44">
        <v>11.352423550908901</v>
      </c>
      <c r="M47" s="44">
        <v>11.348340242055899</v>
      </c>
      <c r="N47" s="44">
        <v>16.513088715662899</v>
      </c>
      <c r="O47" s="44">
        <v>25.681091001702999</v>
      </c>
      <c r="P47" s="44">
        <v>35.762433113817103</v>
      </c>
      <c r="Q47" s="44">
        <v>35.762433113817103</v>
      </c>
      <c r="R47" s="44">
        <v>35.762433113817103</v>
      </c>
      <c r="S47" s="44">
        <v>37.766674806222198</v>
      </c>
      <c r="T47" s="44">
        <v>37.766674806222198</v>
      </c>
      <c r="U47" s="44">
        <v>37.766674806222198</v>
      </c>
    </row>
    <row r="48" spans="1:21">
      <c r="A48" s="43" t="s">
        <v>119</v>
      </c>
      <c r="B48" s="44">
        <v>34.095603173497402</v>
      </c>
      <c r="C48" s="44">
        <v>34.095603173497402</v>
      </c>
      <c r="D48" s="44">
        <v>34.095603173497402</v>
      </c>
      <c r="E48" s="44">
        <v>27.818268668688901</v>
      </c>
      <c r="F48" s="44">
        <v>27.818268668688901</v>
      </c>
      <c r="G48" s="44">
        <v>27.818268668688901</v>
      </c>
      <c r="H48" s="44">
        <v>17.682594277413902</v>
      </c>
      <c r="I48" s="44">
        <v>21.4317301274409</v>
      </c>
      <c r="J48" s="44">
        <v>19.986805179594899</v>
      </c>
      <c r="K48" s="44">
        <v>11.352423550908901</v>
      </c>
      <c r="L48" s="44">
        <v>11.352423550908901</v>
      </c>
      <c r="M48" s="44">
        <v>11.348340242055899</v>
      </c>
      <c r="N48" s="44">
        <v>16.513088715662899</v>
      </c>
      <c r="O48" s="44">
        <v>25.681091001702999</v>
      </c>
      <c r="P48" s="44">
        <v>35.762433113817103</v>
      </c>
      <c r="Q48" s="44">
        <v>35.762433113817103</v>
      </c>
      <c r="R48" s="44">
        <v>35.762433113817103</v>
      </c>
      <c r="S48" s="44">
        <v>37.766674806222198</v>
      </c>
      <c r="T48" s="44">
        <v>37.766674806222198</v>
      </c>
      <c r="U48" s="44">
        <v>37.766674806222198</v>
      </c>
    </row>
    <row r="49" spans="1:21">
      <c r="A49" s="43" t="s">
        <v>120</v>
      </c>
      <c r="B49" s="44">
        <v>34.095603173497402</v>
      </c>
      <c r="C49" s="44">
        <v>34.095603173497402</v>
      </c>
      <c r="D49" s="44">
        <v>34.095603173497402</v>
      </c>
      <c r="E49" s="44">
        <v>27.818268668688901</v>
      </c>
      <c r="F49" s="44">
        <v>27.818268668688901</v>
      </c>
      <c r="G49" s="44">
        <v>27.818268668688901</v>
      </c>
      <c r="H49" s="44">
        <v>17.682594277413902</v>
      </c>
      <c r="I49" s="44">
        <v>21.4317301274409</v>
      </c>
      <c r="J49" s="44">
        <v>19.986805179594899</v>
      </c>
      <c r="K49" s="44">
        <v>11.352423550908901</v>
      </c>
      <c r="L49" s="44">
        <v>11.352423550908901</v>
      </c>
      <c r="M49" s="44">
        <v>11.348340242055899</v>
      </c>
      <c r="N49" s="44">
        <v>16.513088715662899</v>
      </c>
      <c r="O49" s="44">
        <v>25.681091001702999</v>
      </c>
      <c r="P49" s="44">
        <v>35.762433113817103</v>
      </c>
      <c r="Q49" s="44">
        <v>35.762433113817103</v>
      </c>
      <c r="R49" s="44">
        <v>35.762433113817103</v>
      </c>
      <c r="S49" s="44">
        <v>37.766674806222198</v>
      </c>
      <c r="T49" s="44">
        <v>37.766674806222198</v>
      </c>
      <c r="U49" s="44">
        <v>37.766674806222198</v>
      </c>
    </row>
    <row r="50" spans="1:21">
      <c r="A50" s="43" t="s">
        <v>121</v>
      </c>
      <c r="B50" s="44">
        <v>34.095603173497402</v>
      </c>
      <c r="C50" s="44">
        <v>34.095603173497402</v>
      </c>
      <c r="D50" s="44">
        <v>34.095603173497402</v>
      </c>
      <c r="E50" s="44">
        <v>27.818268668688901</v>
      </c>
      <c r="F50" s="44">
        <v>27.818268668688901</v>
      </c>
      <c r="G50" s="44">
        <v>27.818268668688901</v>
      </c>
      <c r="H50" s="44">
        <v>17.682594277413902</v>
      </c>
      <c r="I50" s="44">
        <v>21.4317301274409</v>
      </c>
      <c r="J50" s="44">
        <v>19.986805179594899</v>
      </c>
      <c r="K50" s="44">
        <v>11.352423550908901</v>
      </c>
      <c r="L50" s="44">
        <v>11.352423550908901</v>
      </c>
      <c r="M50" s="44">
        <v>11.348340242055899</v>
      </c>
      <c r="N50" s="44">
        <v>16.513088715662899</v>
      </c>
      <c r="O50" s="44">
        <v>25.681091001702999</v>
      </c>
      <c r="P50" s="44">
        <v>35.762433113817103</v>
      </c>
      <c r="Q50" s="44">
        <v>35.762433113817103</v>
      </c>
      <c r="R50" s="44">
        <v>35.762433113817103</v>
      </c>
      <c r="S50" s="44">
        <v>37.766674806222198</v>
      </c>
      <c r="T50" s="44">
        <v>37.766674806222198</v>
      </c>
      <c r="U50" s="44">
        <v>37.766674806222198</v>
      </c>
    </row>
    <row r="51" spans="1:21">
      <c r="A51" s="43" t="s">
        <v>122</v>
      </c>
      <c r="B51" s="44">
        <v>34.095603173497402</v>
      </c>
      <c r="C51" s="44">
        <v>34.095603173497402</v>
      </c>
      <c r="D51" s="44">
        <v>34.095603173497402</v>
      </c>
      <c r="E51" s="44">
        <v>27.818268668688901</v>
      </c>
      <c r="F51" s="44">
        <v>27.818268668688901</v>
      </c>
      <c r="G51" s="44">
        <v>27.818268668688901</v>
      </c>
      <c r="H51" s="44">
        <v>17.682594277413902</v>
      </c>
      <c r="I51" s="44">
        <v>21.4317301274409</v>
      </c>
      <c r="J51" s="44">
        <v>19.986805179594899</v>
      </c>
      <c r="K51" s="44">
        <v>11.352423550908901</v>
      </c>
      <c r="L51" s="44">
        <v>11.352423550908901</v>
      </c>
      <c r="M51" s="44">
        <v>11.348340242055899</v>
      </c>
      <c r="N51" s="44">
        <v>16.513088715662899</v>
      </c>
      <c r="O51" s="44">
        <v>25.681091001702999</v>
      </c>
      <c r="P51" s="44">
        <v>35.762433113817103</v>
      </c>
      <c r="Q51" s="44">
        <v>35.762433113817103</v>
      </c>
      <c r="R51" s="44">
        <v>35.762433113817103</v>
      </c>
      <c r="S51" s="44">
        <v>37.766674806222198</v>
      </c>
      <c r="T51" s="44">
        <v>37.766674806222198</v>
      </c>
      <c r="U51" s="44">
        <v>37.766674806222198</v>
      </c>
    </row>
    <row r="52" spans="1:21">
      <c r="A52" s="43" t="s">
        <v>123</v>
      </c>
      <c r="B52" s="44">
        <v>34.095603173497402</v>
      </c>
      <c r="C52" s="44">
        <v>34.095603173497402</v>
      </c>
      <c r="D52" s="44">
        <v>34.095603173497402</v>
      </c>
      <c r="E52" s="44">
        <v>27.818268668688901</v>
      </c>
      <c r="F52" s="44">
        <v>27.818268668688901</v>
      </c>
      <c r="G52" s="44">
        <v>27.818268668688901</v>
      </c>
      <c r="H52" s="44">
        <v>17.682594277413902</v>
      </c>
      <c r="I52" s="44">
        <v>21.4317301274409</v>
      </c>
      <c r="J52" s="44">
        <v>19.986805179594899</v>
      </c>
      <c r="K52" s="44">
        <v>11.352423550908901</v>
      </c>
      <c r="L52" s="44">
        <v>11.352423550908901</v>
      </c>
      <c r="M52" s="44">
        <v>11.348340242055899</v>
      </c>
      <c r="N52" s="44">
        <v>16.513088715662899</v>
      </c>
      <c r="O52" s="44">
        <v>25.681091001702999</v>
      </c>
      <c r="P52" s="44">
        <v>35.762433113817103</v>
      </c>
      <c r="Q52" s="44">
        <v>35.762433113817103</v>
      </c>
      <c r="R52" s="44">
        <v>35.762433113817103</v>
      </c>
      <c r="S52" s="44">
        <v>37.766674806222198</v>
      </c>
      <c r="T52" s="44">
        <v>37.766674806222198</v>
      </c>
      <c r="U52" s="44">
        <v>37.766674806222198</v>
      </c>
    </row>
    <row r="53" spans="1:21">
      <c r="A53" s="43" t="s">
        <v>124</v>
      </c>
      <c r="B53" s="44">
        <v>34.095603173497402</v>
      </c>
      <c r="C53" s="44">
        <v>34.095603173497402</v>
      </c>
      <c r="D53" s="44">
        <v>34.095603173497402</v>
      </c>
      <c r="E53" s="44">
        <v>27.818268668688901</v>
      </c>
      <c r="F53" s="44">
        <v>27.818268668688901</v>
      </c>
      <c r="G53" s="44">
        <v>27.818268668688901</v>
      </c>
      <c r="H53" s="44">
        <v>17.682594277413902</v>
      </c>
      <c r="I53" s="44">
        <v>21.4317301274409</v>
      </c>
      <c r="J53" s="44">
        <v>19.986805179594899</v>
      </c>
      <c r="K53" s="44">
        <v>11.352423550908901</v>
      </c>
      <c r="L53" s="44">
        <v>11.352423550908901</v>
      </c>
      <c r="M53" s="44">
        <v>11.348340242055899</v>
      </c>
      <c r="N53" s="44">
        <v>16.513088715662899</v>
      </c>
      <c r="O53" s="44">
        <v>25.681091001702999</v>
      </c>
      <c r="P53" s="44">
        <v>35.762433113817103</v>
      </c>
      <c r="Q53" s="44">
        <v>35.762433113817103</v>
      </c>
      <c r="R53" s="44">
        <v>35.762433113817103</v>
      </c>
      <c r="S53" s="44">
        <v>37.766674806222198</v>
      </c>
      <c r="T53" s="44">
        <v>37.766674806222198</v>
      </c>
      <c r="U53" s="44">
        <v>37.766674806222198</v>
      </c>
    </row>
    <row r="54" spans="1:21">
      <c r="A54" s="43" t="s">
        <v>125</v>
      </c>
      <c r="B54" s="44">
        <v>34.095603173497402</v>
      </c>
      <c r="C54" s="44">
        <v>34.095603173497402</v>
      </c>
      <c r="D54" s="44">
        <v>34.095603173497402</v>
      </c>
      <c r="E54" s="44">
        <v>27.818268668688901</v>
      </c>
      <c r="F54" s="44">
        <v>27.818268668688901</v>
      </c>
      <c r="G54" s="44">
        <v>27.818268668688901</v>
      </c>
      <c r="H54" s="44">
        <v>17.682594277413902</v>
      </c>
      <c r="I54" s="44">
        <v>21.4317301274409</v>
      </c>
      <c r="J54" s="44">
        <v>19.986805179594899</v>
      </c>
      <c r="K54" s="44">
        <v>11.352423550908901</v>
      </c>
      <c r="L54" s="44">
        <v>11.352423550908901</v>
      </c>
      <c r="M54" s="44">
        <v>11.348340242055899</v>
      </c>
      <c r="N54" s="44">
        <v>16.513088715662899</v>
      </c>
      <c r="O54" s="44">
        <v>25.681091001702999</v>
      </c>
      <c r="P54" s="44">
        <v>35.762433113817103</v>
      </c>
      <c r="Q54" s="44">
        <v>35.762433113817103</v>
      </c>
      <c r="R54" s="44">
        <v>35.762433113817103</v>
      </c>
      <c r="S54" s="44">
        <v>37.766674806222198</v>
      </c>
      <c r="T54" s="44">
        <v>37.766674806222198</v>
      </c>
      <c r="U54" s="44">
        <v>37.766674806222198</v>
      </c>
    </row>
    <row r="55" spans="1:21">
      <c r="A55" s="43" t="s">
        <v>126</v>
      </c>
      <c r="B55" s="44">
        <v>34.095603173497402</v>
      </c>
      <c r="C55" s="44">
        <v>34.095603173497402</v>
      </c>
      <c r="D55" s="44">
        <v>34.095603173497402</v>
      </c>
      <c r="E55" s="44">
        <v>27.818268668688901</v>
      </c>
      <c r="F55" s="44">
        <v>27.818268668688901</v>
      </c>
      <c r="G55" s="44">
        <v>27.818268668688901</v>
      </c>
      <c r="H55" s="44">
        <v>17.682594277413902</v>
      </c>
      <c r="I55" s="44">
        <v>21.4317301274409</v>
      </c>
      <c r="J55" s="44">
        <v>19.986805179594899</v>
      </c>
      <c r="K55" s="44">
        <v>11.352423550908901</v>
      </c>
      <c r="L55" s="44">
        <v>11.352423550908901</v>
      </c>
      <c r="M55" s="44">
        <v>11.348340242055899</v>
      </c>
      <c r="N55" s="44">
        <v>16.513088715662899</v>
      </c>
      <c r="O55" s="44">
        <v>25.681091001702999</v>
      </c>
      <c r="P55" s="44">
        <v>35.762433113817103</v>
      </c>
      <c r="Q55" s="44">
        <v>35.762433113817103</v>
      </c>
      <c r="R55" s="44">
        <v>35.762433113817103</v>
      </c>
      <c r="S55" s="44">
        <v>37.766674806222198</v>
      </c>
      <c r="T55" s="44">
        <v>37.766674806222198</v>
      </c>
      <c r="U55" s="44">
        <v>37.766674806222198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97139-7705-BB42-8111-51E04F828858}">
  <dimension ref="A1:U55"/>
  <sheetViews>
    <sheetView tabSelected="1" workbookViewId="0">
      <selection activeCell="AL16" sqref="AL16"/>
    </sheetView>
  </sheetViews>
  <sheetFormatPr baseColWidth="10" defaultRowHeight="15"/>
  <sheetData>
    <row r="1" spans="1:21" ht="16">
      <c r="A1" s="63" t="s">
        <v>18</v>
      </c>
      <c r="B1" s="64" t="s">
        <v>5</v>
      </c>
      <c r="C1" s="64" t="s">
        <v>6</v>
      </c>
      <c r="D1" s="64" t="s">
        <v>7</v>
      </c>
      <c r="E1" s="65" t="s">
        <v>8</v>
      </c>
      <c r="F1" s="65" t="s">
        <v>9</v>
      </c>
      <c r="G1" s="65" t="s">
        <v>10</v>
      </c>
      <c r="H1" s="64">
        <v>9</v>
      </c>
      <c r="I1" s="64">
        <v>10</v>
      </c>
      <c r="J1" s="64">
        <v>11</v>
      </c>
      <c r="K1" s="64">
        <v>12</v>
      </c>
      <c r="L1" s="64">
        <v>1</v>
      </c>
      <c r="M1" s="64">
        <v>2</v>
      </c>
      <c r="N1" s="64">
        <v>3</v>
      </c>
      <c r="O1" s="64">
        <v>4</v>
      </c>
      <c r="P1" s="65" t="s">
        <v>11</v>
      </c>
      <c r="Q1" s="65" t="s">
        <v>12</v>
      </c>
      <c r="R1" s="65" t="s">
        <v>13</v>
      </c>
      <c r="S1" s="65" t="s">
        <v>14</v>
      </c>
      <c r="T1" s="65" t="s">
        <v>15</v>
      </c>
      <c r="U1" s="65" t="s">
        <v>16</v>
      </c>
    </row>
    <row r="2" spans="1:21">
      <c r="A2" s="43" t="s">
        <v>46</v>
      </c>
      <c r="B2" s="25">
        <v>193.384696308673</v>
      </c>
      <c r="C2" s="25">
        <v>193.384696308673</v>
      </c>
      <c r="D2" s="25">
        <v>193.384696308673</v>
      </c>
      <c r="E2" s="25">
        <v>157.12506575079701</v>
      </c>
      <c r="F2" s="25">
        <v>157.12506575079701</v>
      </c>
      <c r="G2" s="25">
        <v>157.12506575079701</v>
      </c>
      <c r="H2" s="25">
        <v>96.6923481543365</v>
      </c>
      <c r="I2" s="25">
        <v>120.865435192921</v>
      </c>
      <c r="J2" s="25">
        <v>108.778891673629</v>
      </c>
      <c r="K2" s="25">
        <v>60.4327175964603</v>
      </c>
      <c r="L2" s="25">
        <v>60.4327175964603</v>
      </c>
      <c r="M2" s="25">
        <v>60.4327175964603</v>
      </c>
      <c r="N2" s="25">
        <v>96.6923481543365</v>
      </c>
      <c r="O2" s="25">
        <v>145.038522231505</v>
      </c>
      <c r="P2" s="25">
        <v>205.47123982796501</v>
      </c>
      <c r="Q2" s="25">
        <v>205.47123982796501</v>
      </c>
      <c r="R2" s="25">
        <v>205.47123982796501</v>
      </c>
      <c r="S2" s="25">
        <v>217.55778334725699</v>
      </c>
      <c r="T2" s="25">
        <v>217.55778334725699</v>
      </c>
      <c r="U2" s="25">
        <v>217.55778334725699</v>
      </c>
    </row>
    <row r="3" spans="1:21">
      <c r="A3" s="43" t="s">
        <v>47</v>
      </c>
      <c r="B3" s="25">
        <v>193.384696308673</v>
      </c>
      <c r="C3" s="25">
        <v>193.384696308673</v>
      </c>
      <c r="D3" s="25">
        <v>193.384696308673</v>
      </c>
      <c r="E3" s="25">
        <v>157.12506575079701</v>
      </c>
      <c r="F3" s="25">
        <v>157.12506575079701</v>
      </c>
      <c r="G3" s="25">
        <v>157.12506575079701</v>
      </c>
      <c r="H3" s="25">
        <v>96.6923481543365</v>
      </c>
      <c r="I3" s="25">
        <v>120.865435192921</v>
      </c>
      <c r="J3" s="25">
        <v>108.778891673629</v>
      </c>
      <c r="K3" s="25">
        <v>60.4327175964603</v>
      </c>
      <c r="L3" s="25">
        <v>60.4327175964603</v>
      </c>
      <c r="M3" s="25">
        <v>60.4327175964603</v>
      </c>
      <c r="N3" s="25">
        <v>96.6923481543365</v>
      </c>
      <c r="O3" s="25">
        <v>145.038522231505</v>
      </c>
      <c r="P3" s="25">
        <v>205.47123982796501</v>
      </c>
      <c r="Q3" s="25">
        <v>205.47123982796501</v>
      </c>
      <c r="R3" s="25">
        <v>205.47123982796501</v>
      </c>
      <c r="S3" s="25">
        <v>217.55778334725699</v>
      </c>
      <c r="T3" s="25">
        <v>217.55778334725699</v>
      </c>
      <c r="U3" s="25">
        <v>217.55778334725699</v>
      </c>
    </row>
    <row r="4" spans="1:21">
      <c r="A4" s="43" t="s">
        <v>48</v>
      </c>
      <c r="B4" s="25">
        <v>193.384696308673</v>
      </c>
      <c r="C4" s="25">
        <v>193.384696308673</v>
      </c>
      <c r="D4" s="25">
        <v>193.384696308673</v>
      </c>
      <c r="E4" s="25">
        <v>157.12506575079701</v>
      </c>
      <c r="F4" s="25">
        <v>157.12506575079701</v>
      </c>
      <c r="G4" s="25">
        <v>157.12506575079701</v>
      </c>
      <c r="H4" s="25">
        <v>96.6923481543365</v>
      </c>
      <c r="I4" s="25">
        <v>120.865435192921</v>
      </c>
      <c r="J4" s="25">
        <v>108.778891673629</v>
      </c>
      <c r="K4" s="25">
        <v>60.4327175964603</v>
      </c>
      <c r="L4" s="25">
        <v>60.4327175964603</v>
      </c>
      <c r="M4" s="25">
        <v>60.4327175964603</v>
      </c>
      <c r="N4" s="25">
        <v>96.6923481543365</v>
      </c>
      <c r="O4" s="25">
        <v>145.038522231505</v>
      </c>
      <c r="P4" s="25">
        <v>205.47123982796501</v>
      </c>
      <c r="Q4" s="25">
        <v>205.47123982796501</v>
      </c>
      <c r="R4" s="25">
        <v>205.47123982796501</v>
      </c>
      <c r="S4" s="25">
        <v>217.55778334725699</v>
      </c>
      <c r="T4" s="25">
        <v>217.55778334725699</v>
      </c>
      <c r="U4" s="25">
        <v>217.55778334725699</v>
      </c>
    </row>
    <row r="5" spans="1:21">
      <c r="A5" s="43" t="s">
        <v>49</v>
      </c>
      <c r="B5" s="25">
        <v>193.384696308673</v>
      </c>
      <c r="C5" s="25">
        <v>193.384696308673</v>
      </c>
      <c r="D5" s="25">
        <v>193.384696308673</v>
      </c>
      <c r="E5" s="25">
        <v>157.12506575079701</v>
      </c>
      <c r="F5" s="25">
        <v>157.12506575079701</v>
      </c>
      <c r="G5" s="25">
        <v>157.12506575079701</v>
      </c>
      <c r="H5" s="25">
        <v>96.6923481543365</v>
      </c>
      <c r="I5" s="25">
        <v>120.865435192921</v>
      </c>
      <c r="J5" s="25">
        <v>108.778891673629</v>
      </c>
      <c r="K5" s="25">
        <v>60.4327175964603</v>
      </c>
      <c r="L5" s="25">
        <v>60.4327175964603</v>
      </c>
      <c r="M5" s="25">
        <v>60.4327175964603</v>
      </c>
      <c r="N5" s="25">
        <v>96.6923481543365</v>
      </c>
      <c r="O5" s="25">
        <v>145.038522231505</v>
      </c>
      <c r="P5" s="25">
        <v>205.47123982796501</v>
      </c>
      <c r="Q5" s="25">
        <v>205.47123982796501</v>
      </c>
      <c r="R5" s="25">
        <v>205.47123982796501</v>
      </c>
      <c r="S5" s="25">
        <v>217.55778334725699</v>
      </c>
      <c r="T5" s="25">
        <v>217.55778334725699</v>
      </c>
      <c r="U5" s="25">
        <v>217.55778334725699</v>
      </c>
    </row>
    <row r="6" spans="1:21">
      <c r="A6" s="43" t="s">
        <v>50</v>
      </c>
      <c r="B6" s="25">
        <v>193.384696308673</v>
      </c>
      <c r="C6" s="25">
        <v>193.384696308673</v>
      </c>
      <c r="D6" s="25">
        <v>193.384696308673</v>
      </c>
      <c r="E6" s="25">
        <v>157.12506575079701</v>
      </c>
      <c r="F6" s="25">
        <v>157.12506575079701</v>
      </c>
      <c r="G6" s="25">
        <v>157.12506575079701</v>
      </c>
      <c r="H6" s="25">
        <v>96.6923481543365</v>
      </c>
      <c r="I6" s="25">
        <v>120.865435192921</v>
      </c>
      <c r="J6" s="25">
        <v>108.778891673629</v>
      </c>
      <c r="K6" s="25">
        <v>60.4327175964603</v>
      </c>
      <c r="L6" s="25">
        <v>60.4327175964603</v>
      </c>
      <c r="M6" s="25">
        <v>60.4327175964603</v>
      </c>
      <c r="N6" s="25">
        <v>96.6923481543365</v>
      </c>
      <c r="O6" s="25">
        <v>145.038522231505</v>
      </c>
      <c r="P6" s="25">
        <v>205.47123982796501</v>
      </c>
      <c r="Q6" s="25">
        <v>205.47123982796501</v>
      </c>
      <c r="R6" s="25">
        <v>205.47123982796501</v>
      </c>
      <c r="S6" s="25">
        <v>217.55778334725699</v>
      </c>
      <c r="T6" s="25">
        <v>217.55778334725699</v>
      </c>
      <c r="U6" s="25">
        <v>217.55778334725699</v>
      </c>
    </row>
    <row r="7" spans="1:21">
      <c r="A7" s="43" t="s">
        <v>51</v>
      </c>
      <c r="B7" s="25">
        <v>193.384696308673</v>
      </c>
      <c r="C7" s="25">
        <v>193.384696308673</v>
      </c>
      <c r="D7" s="25">
        <v>193.384696308673</v>
      </c>
      <c r="E7" s="25">
        <v>157.12506575079701</v>
      </c>
      <c r="F7" s="25">
        <v>157.12506575079701</v>
      </c>
      <c r="G7" s="25">
        <v>157.12506575079701</v>
      </c>
      <c r="H7" s="25">
        <v>96.6923481543365</v>
      </c>
      <c r="I7" s="25">
        <v>120.865435192921</v>
      </c>
      <c r="J7" s="25">
        <v>108.778891673629</v>
      </c>
      <c r="K7" s="25">
        <v>60.4327175964603</v>
      </c>
      <c r="L7" s="25">
        <v>60.4327175964603</v>
      </c>
      <c r="M7" s="25">
        <v>60.4327175964603</v>
      </c>
      <c r="N7" s="25">
        <v>96.6923481543365</v>
      </c>
      <c r="O7" s="25">
        <v>145.038522231505</v>
      </c>
      <c r="P7" s="25">
        <v>205.47123982796501</v>
      </c>
      <c r="Q7" s="25">
        <v>205.47123982796501</v>
      </c>
      <c r="R7" s="25">
        <v>205.47123982796501</v>
      </c>
      <c r="S7" s="25">
        <v>217.55778334725699</v>
      </c>
      <c r="T7" s="25">
        <v>217.55778334725699</v>
      </c>
      <c r="U7" s="25">
        <v>217.55778334725699</v>
      </c>
    </row>
    <row r="8" spans="1:21">
      <c r="A8" s="43" t="s">
        <v>52</v>
      </c>
      <c r="B8" s="25">
        <v>193.384696308673</v>
      </c>
      <c r="C8" s="25">
        <v>193.384696308673</v>
      </c>
      <c r="D8" s="25">
        <v>193.384696308673</v>
      </c>
      <c r="E8" s="25">
        <v>157.12506575079701</v>
      </c>
      <c r="F8" s="25">
        <v>157.12506575079701</v>
      </c>
      <c r="G8" s="25">
        <v>157.12506575079701</v>
      </c>
      <c r="H8" s="25">
        <v>96.6923481543365</v>
      </c>
      <c r="I8" s="25">
        <v>120.865435192921</v>
      </c>
      <c r="J8" s="25">
        <v>108.778891673629</v>
      </c>
      <c r="K8" s="25">
        <v>60.4327175964603</v>
      </c>
      <c r="L8" s="25">
        <v>60.4327175964603</v>
      </c>
      <c r="M8" s="25">
        <v>60.4327175964603</v>
      </c>
      <c r="N8" s="25">
        <v>96.6923481543365</v>
      </c>
      <c r="O8" s="25">
        <v>145.038522231505</v>
      </c>
      <c r="P8" s="25">
        <v>205.47123982796501</v>
      </c>
      <c r="Q8" s="25">
        <v>205.47123982796501</v>
      </c>
      <c r="R8" s="25">
        <v>205.47123982796501</v>
      </c>
      <c r="S8" s="25">
        <v>217.55778334725699</v>
      </c>
      <c r="T8" s="25">
        <v>217.55778334725699</v>
      </c>
      <c r="U8" s="25">
        <v>217.55778334725699</v>
      </c>
    </row>
    <row r="9" spans="1:21">
      <c r="A9" s="43" t="s">
        <v>53</v>
      </c>
      <c r="B9" s="25">
        <v>193.384696308673</v>
      </c>
      <c r="C9" s="25">
        <v>193.384696308673</v>
      </c>
      <c r="D9" s="25">
        <v>193.384696308673</v>
      </c>
      <c r="E9" s="25">
        <v>157.12506575079701</v>
      </c>
      <c r="F9" s="25">
        <v>157.12506575079701</v>
      </c>
      <c r="G9" s="25">
        <v>157.12506575079701</v>
      </c>
      <c r="H9" s="25">
        <v>96.6923481543365</v>
      </c>
      <c r="I9" s="25">
        <v>120.865435192921</v>
      </c>
      <c r="J9" s="25">
        <v>108.778891673629</v>
      </c>
      <c r="K9" s="25">
        <v>60.4327175964603</v>
      </c>
      <c r="L9" s="25">
        <v>60.4327175964603</v>
      </c>
      <c r="M9" s="25">
        <v>60.4327175964603</v>
      </c>
      <c r="N9" s="25">
        <v>96.6923481543365</v>
      </c>
      <c r="O9" s="25">
        <v>145.038522231505</v>
      </c>
      <c r="P9" s="25">
        <v>205.47123982796501</v>
      </c>
      <c r="Q9" s="25">
        <v>205.47123982796501</v>
      </c>
      <c r="R9" s="25">
        <v>205.47123982796501</v>
      </c>
      <c r="S9" s="25">
        <v>217.55778334725699</v>
      </c>
      <c r="T9" s="25">
        <v>217.55778334725699</v>
      </c>
      <c r="U9" s="25">
        <v>217.55778334725699</v>
      </c>
    </row>
    <row r="10" spans="1:21">
      <c r="A10" s="43" t="s">
        <v>54</v>
      </c>
      <c r="B10" s="25">
        <v>193.384696308673</v>
      </c>
      <c r="C10" s="25">
        <v>193.384696308673</v>
      </c>
      <c r="D10" s="25">
        <v>193.384696308673</v>
      </c>
      <c r="E10" s="25">
        <v>157.12506575079701</v>
      </c>
      <c r="F10" s="25">
        <v>157.12506575079701</v>
      </c>
      <c r="G10" s="25">
        <v>157.12506575079701</v>
      </c>
      <c r="H10" s="25">
        <v>96.6923481543365</v>
      </c>
      <c r="I10" s="25">
        <v>120.865435192921</v>
      </c>
      <c r="J10" s="25">
        <v>108.778891673629</v>
      </c>
      <c r="K10" s="25">
        <v>60.4327175964603</v>
      </c>
      <c r="L10" s="25">
        <v>60.4327175964603</v>
      </c>
      <c r="M10" s="25">
        <v>60.4327175964603</v>
      </c>
      <c r="N10" s="25">
        <v>96.6923481543365</v>
      </c>
      <c r="O10" s="25">
        <v>145.038522231505</v>
      </c>
      <c r="P10" s="25">
        <v>205.47123982796501</v>
      </c>
      <c r="Q10" s="25">
        <v>205.47123982796501</v>
      </c>
      <c r="R10" s="25">
        <v>205.47123982796501</v>
      </c>
      <c r="S10" s="25">
        <v>217.55778334725699</v>
      </c>
      <c r="T10" s="25">
        <v>217.55778334725699</v>
      </c>
      <c r="U10" s="25">
        <v>217.55778334725699</v>
      </c>
    </row>
    <row r="11" spans="1:21">
      <c r="A11" s="43" t="s">
        <v>55</v>
      </c>
      <c r="B11" s="25">
        <v>193.384696308673</v>
      </c>
      <c r="C11" s="25">
        <v>193.384696308673</v>
      </c>
      <c r="D11" s="25">
        <v>193.384696308673</v>
      </c>
      <c r="E11" s="25">
        <v>157.12506575079701</v>
      </c>
      <c r="F11" s="25">
        <v>157.12506575079701</v>
      </c>
      <c r="G11" s="25">
        <v>157.12506575079701</v>
      </c>
      <c r="H11" s="25">
        <v>96.6923481543365</v>
      </c>
      <c r="I11" s="25">
        <v>120.865435192921</v>
      </c>
      <c r="J11" s="25">
        <v>108.778891673629</v>
      </c>
      <c r="K11" s="25">
        <v>60.4327175964603</v>
      </c>
      <c r="L11" s="25">
        <v>60.4327175964603</v>
      </c>
      <c r="M11" s="25">
        <v>60.4327175964603</v>
      </c>
      <c r="N11" s="25">
        <v>96.6923481543365</v>
      </c>
      <c r="O11" s="25">
        <v>145.038522231505</v>
      </c>
      <c r="P11" s="25">
        <v>205.47123982796501</v>
      </c>
      <c r="Q11" s="25">
        <v>205.47123982796501</v>
      </c>
      <c r="R11" s="25">
        <v>205.47123982796501</v>
      </c>
      <c r="S11" s="25">
        <v>217.55778334725699</v>
      </c>
      <c r="T11" s="25">
        <v>217.55778334725699</v>
      </c>
      <c r="U11" s="25">
        <v>217.55778334725699</v>
      </c>
    </row>
    <row r="12" spans="1:21">
      <c r="A12" s="43" t="s">
        <v>56</v>
      </c>
      <c r="B12" s="25">
        <v>193.384696308673</v>
      </c>
      <c r="C12" s="25">
        <v>193.384696308673</v>
      </c>
      <c r="D12" s="25">
        <v>193.384696308673</v>
      </c>
      <c r="E12" s="25">
        <v>157.12506575079701</v>
      </c>
      <c r="F12" s="25">
        <v>157.12506575079701</v>
      </c>
      <c r="G12" s="25">
        <v>157.12506575079701</v>
      </c>
      <c r="H12" s="25">
        <v>96.6923481543365</v>
      </c>
      <c r="I12" s="25">
        <v>120.865435192921</v>
      </c>
      <c r="J12" s="25">
        <v>108.778891673629</v>
      </c>
      <c r="K12" s="25">
        <v>60.4327175964603</v>
      </c>
      <c r="L12" s="25">
        <v>60.4327175964603</v>
      </c>
      <c r="M12" s="25">
        <v>60.4327175964603</v>
      </c>
      <c r="N12" s="25">
        <v>96.6923481543365</v>
      </c>
      <c r="O12" s="25">
        <v>145.038522231505</v>
      </c>
      <c r="P12" s="25">
        <v>205.47123982796501</v>
      </c>
      <c r="Q12" s="25">
        <v>205.47123982796501</v>
      </c>
      <c r="R12" s="25">
        <v>205.47123982796501</v>
      </c>
      <c r="S12" s="25">
        <v>217.55778334725699</v>
      </c>
      <c r="T12" s="25">
        <v>217.55778334725699</v>
      </c>
      <c r="U12" s="25">
        <v>217.55778334725699</v>
      </c>
    </row>
    <row r="13" spans="1:21">
      <c r="A13" s="43" t="s">
        <v>57</v>
      </c>
      <c r="B13" s="25">
        <v>193.384696308673</v>
      </c>
      <c r="C13" s="25">
        <v>193.384696308673</v>
      </c>
      <c r="D13" s="25">
        <v>193.384696308673</v>
      </c>
      <c r="E13" s="25">
        <v>157.12506575079701</v>
      </c>
      <c r="F13" s="25">
        <v>157.12506575079701</v>
      </c>
      <c r="G13" s="25">
        <v>157.12506575079701</v>
      </c>
      <c r="H13" s="25">
        <v>96.6923481543365</v>
      </c>
      <c r="I13" s="25">
        <v>120.865435192921</v>
      </c>
      <c r="J13" s="25">
        <v>108.778891673629</v>
      </c>
      <c r="K13" s="25">
        <v>60.4327175964603</v>
      </c>
      <c r="L13" s="25">
        <v>60.4327175964603</v>
      </c>
      <c r="M13" s="25">
        <v>60.4327175964603</v>
      </c>
      <c r="N13" s="25">
        <v>96.6923481543365</v>
      </c>
      <c r="O13" s="25">
        <v>145.038522231505</v>
      </c>
      <c r="P13" s="25">
        <v>205.47123982796501</v>
      </c>
      <c r="Q13" s="25">
        <v>205.47123982796501</v>
      </c>
      <c r="R13" s="25">
        <v>205.47123982796501</v>
      </c>
      <c r="S13" s="25">
        <v>217.55778334725699</v>
      </c>
      <c r="T13" s="25">
        <v>217.55778334725699</v>
      </c>
      <c r="U13" s="25">
        <v>217.55778334725699</v>
      </c>
    </row>
    <row r="14" spans="1:21">
      <c r="A14" s="43" t="s">
        <v>58</v>
      </c>
      <c r="B14" s="25">
        <v>193.384696308673</v>
      </c>
      <c r="C14" s="25">
        <v>193.384696308673</v>
      </c>
      <c r="D14" s="25">
        <v>193.384696308673</v>
      </c>
      <c r="E14" s="25">
        <v>157.12506575079701</v>
      </c>
      <c r="F14" s="25">
        <v>157.12506575079701</v>
      </c>
      <c r="G14" s="25">
        <v>157.12506575079701</v>
      </c>
      <c r="H14" s="25">
        <v>96.6923481543365</v>
      </c>
      <c r="I14" s="25">
        <v>120.865435192921</v>
      </c>
      <c r="J14" s="25">
        <v>108.778891673629</v>
      </c>
      <c r="K14" s="25">
        <v>60.4327175964603</v>
      </c>
      <c r="L14" s="25">
        <v>60.4327175964603</v>
      </c>
      <c r="M14" s="25">
        <v>60.4327175964603</v>
      </c>
      <c r="N14" s="25">
        <v>96.6923481543365</v>
      </c>
      <c r="O14" s="25">
        <v>145.038522231505</v>
      </c>
      <c r="P14" s="25">
        <v>205.47123982796501</v>
      </c>
      <c r="Q14" s="25">
        <v>205.47123982796501</v>
      </c>
      <c r="R14" s="25">
        <v>205.47123982796501</v>
      </c>
      <c r="S14" s="25">
        <v>217.55778334725699</v>
      </c>
      <c r="T14" s="25">
        <v>217.55778334725699</v>
      </c>
      <c r="U14" s="25">
        <v>217.55778334725699</v>
      </c>
    </row>
    <row r="15" spans="1:21">
      <c r="A15" s="43" t="s">
        <v>59</v>
      </c>
      <c r="B15" s="25">
        <v>193.384696308673</v>
      </c>
      <c r="C15" s="25">
        <v>193.384696308673</v>
      </c>
      <c r="D15" s="25">
        <v>193.384696308673</v>
      </c>
      <c r="E15" s="25">
        <v>157.12506575079701</v>
      </c>
      <c r="F15" s="25">
        <v>157.12506575079701</v>
      </c>
      <c r="G15" s="25">
        <v>157.12506575079701</v>
      </c>
      <c r="H15" s="25">
        <v>96.6923481543365</v>
      </c>
      <c r="I15" s="25">
        <v>120.865435192921</v>
      </c>
      <c r="J15" s="25">
        <v>108.778891673629</v>
      </c>
      <c r="K15" s="25">
        <v>60.4327175964603</v>
      </c>
      <c r="L15" s="25">
        <v>60.4327175964603</v>
      </c>
      <c r="M15" s="25">
        <v>60.4327175964603</v>
      </c>
      <c r="N15" s="25">
        <v>96.6923481543365</v>
      </c>
      <c r="O15" s="25">
        <v>145.038522231505</v>
      </c>
      <c r="P15" s="25">
        <v>205.47123982796501</v>
      </c>
      <c r="Q15" s="25">
        <v>205.47123982796501</v>
      </c>
      <c r="R15" s="25">
        <v>205.47123982796501</v>
      </c>
      <c r="S15" s="25">
        <v>217.55778334725699</v>
      </c>
      <c r="T15" s="25">
        <v>217.55778334725699</v>
      </c>
      <c r="U15" s="25">
        <v>217.55778334725699</v>
      </c>
    </row>
    <row r="16" spans="1:21">
      <c r="A16" s="43" t="s">
        <v>60</v>
      </c>
      <c r="B16" s="25">
        <v>193.384696308673</v>
      </c>
      <c r="C16" s="25">
        <v>193.384696308673</v>
      </c>
      <c r="D16" s="25">
        <v>193.384696308673</v>
      </c>
      <c r="E16" s="25">
        <v>157.12506575079701</v>
      </c>
      <c r="F16" s="25">
        <v>157.12506575079701</v>
      </c>
      <c r="G16" s="25">
        <v>157.12506575079701</v>
      </c>
      <c r="H16" s="25">
        <v>96.6923481543365</v>
      </c>
      <c r="I16" s="25">
        <v>120.865435192921</v>
      </c>
      <c r="J16" s="25">
        <v>108.778891673629</v>
      </c>
      <c r="K16" s="25">
        <v>60.4327175964603</v>
      </c>
      <c r="L16" s="25">
        <v>60.4327175964603</v>
      </c>
      <c r="M16" s="25">
        <v>60.4327175964603</v>
      </c>
      <c r="N16" s="25">
        <v>96.6923481543365</v>
      </c>
      <c r="O16" s="25">
        <v>145.038522231505</v>
      </c>
      <c r="P16" s="25">
        <v>205.47123982796501</v>
      </c>
      <c r="Q16" s="25">
        <v>205.47123982796501</v>
      </c>
      <c r="R16" s="25">
        <v>205.47123982796501</v>
      </c>
      <c r="S16" s="25">
        <v>217.55778334725699</v>
      </c>
      <c r="T16" s="25">
        <v>217.55778334725699</v>
      </c>
      <c r="U16" s="25">
        <v>217.55778334725699</v>
      </c>
    </row>
    <row r="17" spans="1:21">
      <c r="A17" s="43" t="s">
        <v>61</v>
      </c>
      <c r="B17" s="25">
        <v>193.384696308673</v>
      </c>
      <c r="C17" s="25">
        <v>193.384696308673</v>
      </c>
      <c r="D17" s="25">
        <v>193.384696308673</v>
      </c>
      <c r="E17" s="25">
        <v>157.12506575079701</v>
      </c>
      <c r="F17" s="25">
        <v>157.12506575079701</v>
      </c>
      <c r="G17" s="25">
        <v>157.12506575079701</v>
      </c>
      <c r="H17" s="25">
        <v>96.6923481543365</v>
      </c>
      <c r="I17" s="25">
        <v>120.865435192921</v>
      </c>
      <c r="J17" s="25">
        <v>108.778891673629</v>
      </c>
      <c r="K17" s="25">
        <v>60.4327175964603</v>
      </c>
      <c r="L17" s="25">
        <v>60.4327175964603</v>
      </c>
      <c r="M17" s="25">
        <v>60.4327175964603</v>
      </c>
      <c r="N17" s="25">
        <v>96.6923481543365</v>
      </c>
      <c r="O17" s="25">
        <v>145.038522231505</v>
      </c>
      <c r="P17" s="25">
        <v>205.47123982796501</v>
      </c>
      <c r="Q17" s="25">
        <v>205.47123982796501</v>
      </c>
      <c r="R17" s="25">
        <v>205.47123982796501</v>
      </c>
      <c r="S17" s="25">
        <v>217.55778334725699</v>
      </c>
      <c r="T17" s="25">
        <v>217.55778334725699</v>
      </c>
      <c r="U17" s="25">
        <v>217.55778334725699</v>
      </c>
    </row>
    <row r="18" spans="1:21">
      <c r="A18" s="43" t="s">
        <v>62</v>
      </c>
      <c r="B18" s="25">
        <v>193.384696308673</v>
      </c>
      <c r="C18" s="25">
        <v>193.384696308673</v>
      </c>
      <c r="D18" s="25">
        <v>193.384696308673</v>
      </c>
      <c r="E18" s="25">
        <v>157.12506575079701</v>
      </c>
      <c r="F18" s="25">
        <v>157.12506575079701</v>
      </c>
      <c r="G18" s="25">
        <v>157.12506575079701</v>
      </c>
      <c r="H18" s="25">
        <v>96.6923481543365</v>
      </c>
      <c r="I18" s="25">
        <v>120.865435192921</v>
      </c>
      <c r="J18" s="25">
        <v>108.778891673629</v>
      </c>
      <c r="K18" s="25">
        <v>60.4327175964603</v>
      </c>
      <c r="L18" s="25">
        <v>60.4327175964603</v>
      </c>
      <c r="M18" s="25">
        <v>60.4327175964603</v>
      </c>
      <c r="N18" s="25">
        <v>96.6923481543365</v>
      </c>
      <c r="O18" s="25">
        <v>145.038522231505</v>
      </c>
      <c r="P18" s="25">
        <v>205.47123982796501</v>
      </c>
      <c r="Q18" s="25">
        <v>205.47123982796501</v>
      </c>
      <c r="R18" s="25">
        <v>205.47123982796501</v>
      </c>
      <c r="S18" s="25">
        <v>217.55778334725699</v>
      </c>
      <c r="T18" s="25">
        <v>217.55778334725699</v>
      </c>
      <c r="U18" s="25">
        <v>217.55778334725699</v>
      </c>
    </row>
    <row r="19" spans="1:21">
      <c r="A19" s="43" t="s">
        <v>63</v>
      </c>
      <c r="B19" s="25">
        <v>193.384696308673</v>
      </c>
      <c r="C19" s="25">
        <v>193.384696308673</v>
      </c>
      <c r="D19" s="25">
        <v>193.384696308673</v>
      </c>
      <c r="E19" s="25">
        <v>157.12506575079701</v>
      </c>
      <c r="F19" s="25">
        <v>157.12506575079701</v>
      </c>
      <c r="G19" s="25">
        <v>157.12506575079701</v>
      </c>
      <c r="H19" s="25">
        <v>96.6923481543365</v>
      </c>
      <c r="I19" s="25">
        <v>120.865435192921</v>
      </c>
      <c r="J19" s="25">
        <v>108.778891673629</v>
      </c>
      <c r="K19" s="25">
        <v>60.4327175964603</v>
      </c>
      <c r="L19" s="25">
        <v>60.4327175964603</v>
      </c>
      <c r="M19" s="25">
        <v>60.4327175964603</v>
      </c>
      <c r="N19" s="25">
        <v>96.6923481543365</v>
      </c>
      <c r="O19" s="25">
        <v>145.038522231505</v>
      </c>
      <c r="P19" s="25">
        <v>205.47123982796501</v>
      </c>
      <c r="Q19" s="25">
        <v>205.47123982796501</v>
      </c>
      <c r="R19" s="25">
        <v>205.47123982796501</v>
      </c>
      <c r="S19" s="25">
        <v>217.55778334725699</v>
      </c>
      <c r="T19" s="25">
        <v>217.55778334725699</v>
      </c>
      <c r="U19" s="25">
        <v>217.55778334725699</v>
      </c>
    </row>
    <row r="20" spans="1:21">
      <c r="A20" s="43" t="s">
        <v>64</v>
      </c>
      <c r="B20" s="25">
        <v>193.384696308673</v>
      </c>
      <c r="C20" s="25">
        <v>193.384696308673</v>
      </c>
      <c r="D20" s="25">
        <v>193.384696308673</v>
      </c>
      <c r="E20" s="25">
        <v>157.12506575079701</v>
      </c>
      <c r="F20" s="25">
        <v>157.12506575079701</v>
      </c>
      <c r="G20" s="25">
        <v>157.12506575079701</v>
      </c>
      <c r="H20" s="25">
        <v>96.6923481543365</v>
      </c>
      <c r="I20" s="25">
        <v>120.865435192921</v>
      </c>
      <c r="J20" s="25">
        <v>108.778891673629</v>
      </c>
      <c r="K20" s="25">
        <v>60.4327175964603</v>
      </c>
      <c r="L20" s="25">
        <v>60.4327175964603</v>
      </c>
      <c r="M20" s="25">
        <v>60.4327175964603</v>
      </c>
      <c r="N20" s="25">
        <v>96.6923481543365</v>
      </c>
      <c r="O20" s="25">
        <v>145.038522231505</v>
      </c>
      <c r="P20" s="25">
        <v>205.47123982796501</v>
      </c>
      <c r="Q20" s="25">
        <v>205.47123982796501</v>
      </c>
      <c r="R20" s="25">
        <v>205.47123982796501</v>
      </c>
      <c r="S20" s="25">
        <v>217.55778334725699</v>
      </c>
      <c r="T20" s="25">
        <v>217.55778334725699</v>
      </c>
      <c r="U20" s="25">
        <v>217.55778334725699</v>
      </c>
    </row>
    <row r="21" spans="1:21">
      <c r="A21" s="43" t="s">
        <v>65</v>
      </c>
      <c r="B21" s="25">
        <v>193.384696308673</v>
      </c>
      <c r="C21" s="25">
        <v>193.384696308673</v>
      </c>
      <c r="D21" s="25">
        <v>193.384696308673</v>
      </c>
      <c r="E21" s="25">
        <v>157.12506575079701</v>
      </c>
      <c r="F21" s="25">
        <v>157.12506575079701</v>
      </c>
      <c r="G21" s="25">
        <v>157.12506575079701</v>
      </c>
      <c r="H21" s="25">
        <v>96.6923481543365</v>
      </c>
      <c r="I21" s="25">
        <v>120.865435192921</v>
      </c>
      <c r="J21" s="25">
        <v>108.778891673629</v>
      </c>
      <c r="K21" s="25">
        <v>60.4327175964603</v>
      </c>
      <c r="L21" s="25">
        <v>60.4327175964603</v>
      </c>
      <c r="M21" s="25">
        <v>60.4327175964603</v>
      </c>
      <c r="N21" s="25">
        <v>96.6923481543365</v>
      </c>
      <c r="O21" s="25">
        <v>145.038522231505</v>
      </c>
      <c r="P21" s="25">
        <v>205.47123982796501</v>
      </c>
      <c r="Q21" s="25">
        <v>205.47123982796501</v>
      </c>
      <c r="R21" s="25">
        <v>205.47123982796501</v>
      </c>
      <c r="S21" s="25">
        <v>217.55778334725699</v>
      </c>
      <c r="T21" s="25">
        <v>217.55778334725699</v>
      </c>
      <c r="U21" s="25">
        <v>217.55778334725699</v>
      </c>
    </row>
    <row r="22" spans="1:21">
      <c r="A22" s="43" t="s">
        <v>20</v>
      </c>
      <c r="B22" s="25">
        <v>193.384696308673</v>
      </c>
      <c r="C22" s="25">
        <v>193.384696308673</v>
      </c>
      <c r="D22" s="25">
        <v>193.384696308673</v>
      </c>
      <c r="E22" s="25">
        <v>157.12506575079701</v>
      </c>
      <c r="F22" s="25">
        <v>157.12506575079701</v>
      </c>
      <c r="G22" s="25">
        <v>157.12506575079701</v>
      </c>
      <c r="H22" s="25">
        <v>96.6923481543365</v>
      </c>
      <c r="I22" s="25">
        <v>120.865435192921</v>
      </c>
      <c r="J22" s="25">
        <v>108.778891673629</v>
      </c>
      <c r="K22" s="25">
        <v>60.4327175964603</v>
      </c>
      <c r="L22" s="25">
        <v>60.4327175964603</v>
      </c>
      <c r="M22" s="25">
        <v>60.4327175964603</v>
      </c>
      <c r="N22" s="25">
        <v>96.6923481543365</v>
      </c>
      <c r="O22" s="25">
        <v>145.038522231505</v>
      </c>
      <c r="P22" s="25">
        <v>205.47123982796501</v>
      </c>
      <c r="Q22" s="25">
        <v>205.47123982796501</v>
      </c>
      <c r="R22" s="25">
        <v>205.47123982796501</v>
      </c>
      <c r="S22" s="25">
        <v>217.55778334725699</v>
      </c>
      <c r="T22" s="25">
        <v>217.55778334725699</v>
      </c>
      <c r="U22" s="25">
        <v>217.55778334725699</v>
      </c>
    </row>
    <row r="23" spans="1:21">
      <c r="A23" s="43" t="s">
        <v>21</v>
      </c>
      <c r="B23" s="25">
        <v>193.384696308673</v>
      </c>
      <c r="C23" s="25">
        <v>193.384696308673</v>
      </c>
      <c r="D23" s="25">
        <v>193.384696308673</v>
      </c>
      <c r="E23" s="25">
        <v>157.12506575079701</v>
      </c>
      <c r="F23" s="25">
        <v>157.12506575079701</v>
      </c>
      <c r="G23" s="25">
        <v>157.12506575079701</v>
      </c>
      <c r="H23" s="25">
        <v>96.6923481543365</v>
      </c>
      <c r="I23" s="25">
        <v>120.865435192921</v>
      </c>
      <c r="J23" s="25">
        <v>108.778891673629</v>
      </c>
      <c r="K23" s="25">
        <v>60.4327175964603</v>
      </c>
      <c r="L23" s="25">
        <v>60.4327175964603</v>
      </c>
      <c r="M23" s="25">
        <v>60.4327175964603</v>
      </c>
      <c r="N23" s="25">
        <v>96.6923481543365</v>
      </c>
      <c r="O23" s="25">
        <v>145.038522231505</v>
      </c>
      <c r="P23" s="25">
        <v>205.47123982796501</v>
      </c>
      <c r="Q23" s="25">
        <v>205.47123982796501</v>
      </c>
      <c r="R23" s="25">
        <v>205.47123982796501</v>
      </c>
      <c r="S23" s="25">
        <v>217.55778334725699</v>
      </c>
      <c r="T23" s="25">
        <v>217.55778334725699</v>
      </c>
      <c r="U23" s="25">
        <v>217.55778334725699</v>
      </c>
    </row>
    <row r="24" spans="1:21">
      <c r="A24" s="43" t="s">
        <v>22</v>
      </c>
      <c r="B24" s="25">
        <v>193.384696308673</v>
      </c>
      <c r="C24" s="25">
        <v>193.384696308673</v>
      </c>
      <c r="D24" s="25">
        <v>193.384696308673</v>
      </c>
      <c r="E24" s="25">
        <v>157.12506575079701</v>
      </c>
      <c r="F24" s="25">
        <v>157.12506575079701</v>
      </c>
      <c r="G24" s="25">
        <v>157.12506575079701</v>
      </c>
      <c r="H24" s="25">
        <v>96.6923481543365</v>
      </c>
      <c r="I24" s="25">
        <v>120.865435192921</v>
      </c>
      <c r="J24" s="25">
        <v>108.778891673629</v>
      </c>
      <c r="K24" s="25">
        <v>60.4327175964603</v>
      </c>
      <c r="L24" s="25">
        <v>60.4327175964603</v>
      </c>
      <c r="M24" s="25">
        <v>60.4327175964603</v>
      </c>
      <c r="N24" s="25">
        <v>96.6923481543365</v>
      </c>
      <c r="O24" s="25">
        <v>145.038522231505</v>
      </c>
      <c r="P24" s="25">
        <v>205.47123982796501</v>
      </c>
      <c r="Q24" s="25">
        <v>205.47123982796501</v>
      </c>
      <c r="R24" s="25">
        <v>205.47123982796501</v>
      </c>
      <c r="S24" s="25">
        <v>217.55778334725699</v>
      </c>
      <c r="T24" s="25">
        <v>217.55778334725699</v>
      </c>
      <c r="U24" s="25">
        <v>217.55778334725699</v>
      </c>
    </row>
    <row r="25" spans="1:21">
      <c r="A25" s="43" t="s">
        <v>23</v>
      </c>
      <c r="B25" s="25">
        <v>193.384696308673</v>
      </c>
      <c r="C25" s="25">
        <v>193.384696308673</v>
      </c>
      <c r="D25" s="25">
        <v>193.384696308673</v>
      </c>
      <c r="E25" s="25">
        <v>157.12506575079701</v>
      </c>
      <c r="F25" s="25">
        <v>157.12506575079701</v>
      </c>
      <c r="G25" s="25">
        <v>157.12506575079701</v>
      </c>
      <c r="H25" s="25">
        <v>96.6923481543365</v>
      </c>
      <c r="I25" s="25">
        <v>120.865435192921</v>
      </c>
      <c r="J25" s="25">
        <v>108.778891673629</v>
      </c>
      <c r="K25" s="25">
        <v>60.4327175964603</v>
      </c>
      <c r="L25" s="25">
        <v>60.4327175964603</v>
      </c>
      <c r="M25" s="25">
        <v>60.4327175964603</v>
      </c>
      <c r="N25" s="25">
        <v>96.6923481543365</v>
      </c>
      <c r="O25" s="25">
        <v>145.038522231505</v>
      </c>
      <c r="P25" s="25">
        <v>205.47123982796501</v>
      </c>
      <c r="Q25" s="25">
        <v>205.47123982796501</v>
      </c>
      <c r="R25" s="25">
        <v>205.47123982796501</v>
      </c>
      <c r="S25" s="25">
        <v>217.55778334725699</v>
      </c>
      <c r="T25" s="25">
        <v>217.55778334725699</v>
      </c>
      <c r="U25" s="25">
        <v>217.55778334725699</v>
      </c>
    </row>
    <row r="26" spans="1:21">
      <c r="A26" s="43" t="s">
        <v>24</v>
      </c>
      <c r="B26" s="25">
        <v>193.384696308673</v>
      </c>
      <c r="C26" s="25">
        <v>193.384696308673</v>
      </c>
      <c r="D26" s="25">
        <v>193.384696308673</v>
      </c>
      <c r="E26" s="25">
        <v>157.12506575079701</v>
      </c>
      <c r="F26" s="25">
        <v>157.12506575079701</v>
      </c>
      <c r="G26" s="25">
        <v>157.12506575079701</v>
      </c>
      <c r="H26" s="25">
        <v>96.6923481543365</v>
      </c>
      <c r="I26" s="25">
        <v>120.865435192921</v>
      </c>
      <c r="J26" s="25">
        <v>108.778891673629</v>
      </c>
      <c r="K26" s="25">
        <v>60.4327175964603</v>
      </c>
      <c r="L26" s="25">
        <v>60.4327175964603</v>
      </c>
      <c r="M26" s="25">
        <v>60.4327175964603</v>
      </c>
      <c r="N26" s="25">
        <v>96.6923481543365</v>
      </c>
      <c r="O26" s="25">
        <v>145.038522231505</v>
      </c>
      <c r="P26" s="25">
        <v>205.47123982796501</v>
      </c>
      <c r="Q26" s="25">
        <v>205.47123982796501</v>
      </c>
      <c r="R26" s="25">
        <v>205.47123982796501</v>
      </c>
      <c r="S26" s="25">
        <v>217.55778334725699</v>
      </c>
      <c r="T26" s="25">
        <v>217.55778334725699</v>
      </c>
      <c r="U26" s="25">
        <v>217.55778334725699</v>
      </c>
    </row>
    <row r="27" spans="1:21">
      <c r="A27" s="43" t="s">
        <v>25</v>
      </c>
      <c r="B27" s="25">
        <v>193.384696308673</v>
      </c>
      <c r="C27" s="25">
        <v>193.384696308673</v>
      </c>
      <c r="D27" s="25">
        <v>193.384696308673</v>
      </c>
      <c r="E27" s="25">
        <v>157.12506575079701</v>
      </c>
      <c r="F27" s="25">
        <v>157.12506575079701</v>
      </c>
      <c r="G27" s="25">
        <v>157.12506575079701</v>
      </c>
      <c r="H27" s="25">
        <v>96.6923481543365</v>
      </c>
      <c r="I27" s="25">
        <v>120.865435192921</v>
      </c>
      <c r="J27" s="25">
        <v>108.778891673629</v>
      </c>
      <c r="K27" s="25">
        <v>60.4327175964603</v>
      </c>
      <c r="L27" s="25">
        <v>60.4327175964603</v>
      </c>
      <c r="M27" s="25">
        <v>60.4327175964603</v>
      </c>
      <c r="N27" s="25">
        <v>96.6923481543365</v>
      </c>
      <c r="O27" s="25">
        <v>145.038522231505</v>
      </c>
      <c r="P27" s="25">
        <v>205.47123982796501</v>
      </c>
      <c r="Q27" s="25">
        <v>205.47123982796501</v>
      </c>
      <c r="R27" s="25">
        <v>205.47123982796501</v>
      </c>
      <c r="S27" s="25">
        <v>217.55778334725699</v>
      </c>
      <c r="T27" s="25">
        <v>217.55778334725699</v>
      </c>
      <c r="U27" s="25">
        <v>217.55778334725699</v>
      </c>
    </row>
    <row r="28" spans="1:21">
      <c r="A28" s="43" t="s">
        <v>26</v>
      </c>
      <c r="B28" s="25">
        <v>193.384696308673</v>
      </c>
      <c r="C28" s="25">
        <v>193.384696308673</v>
      </c>
      <c r="D28" s="25">
        <v>193.384696308673</v>
      </c>
      <c r="E28" s="25">
        <v>157.12506575079701</v>
      </c>
      <c r="F28" s="25">
        <v>157.12506575079701</v>
      </c>
      <c r="G28" s="25">
        <v>157.12506575079701</v>
      </c>
      <c r="H28" s="25">
        <v>96.6923481543365</v>
      </c>
      <c r="I28" s="25">
        <v>120.865435192921</v>
      </c>
      <c r="J28" s="25">
        <v>108.778891673629</v>
      </c>
      <c r="K28" s="25">
        <v>60.4327175964603</v>
      </c>
      <c r="L28" s="25">
        <v>60.4327175964603</v>
      </c>
      <c r="M28" s="25">
        <v>60.4327175964603</v>
      </c>
      <c r="N28" s="25">
        <v>96.6923481543365</v>
      </c>
      <c r="O28" s="25">
        <v>145.038522231505</v>
      </c>
      <c r="P28" s="25">
        <v>205.47123982796501</v>
      </c>
      <c r="Q28" s="25">
        <v>205.47123982796501</v>
      </c>
      <c r="R28" s="25">
        <v>205.47123982796501</v>
      </c>
      <c r="S28" s="25">
        <v>217.55778334725699</v>
      </c>
      <c r="T28" s="25">
        <v>217.55778334725699</v>
      </c>
      <c r="U28" s="25">
        <v>217.55778334725699</v>
      </c>
    </row>
    <row r="29" spans="1:21">
      <c r="A29" s="43" t="s">
        <v>27</v>
      </c>
      <c r="B29" s="25">
        <v>193.384696308673</v>
      </c>
      <c r="C29" s="25">
        <v>193.384696308673</v>
      </c>
      <c r="D29" s="25">
        <v>193.384696308673</v>
      </c>
      <c r="E29" s="25">
        <v>157.12506575079701</v>
      </c>
      <c r="F29" s="25">
        <v>157.12506575079701</v>
      </c>
      <c r="G29" s="25">
        <v>157.12506575079701</v>
      </c>
      <c r="H29" s="25">
        <v>96.6923481543365</v>
      </c>
      <c r="I29" s="25">
        <v>120.865435192921</v>
      </c>
      <c r="J29" s="25">
        <v>108.778891673629</v>
      </c>
      <c r="K29" s="25">
        <v>60.4327175964603</v>
      </c>
      <c r="L29" s="25">
        <v>60.4327175964603</v>
      </c>
      <c r="M29" s="25">
        <v>60.4327175964603</v>
      </c>
      <c r="N29" s="25">
        <v>96.6923481543365</v>
      </c>
      <c r="O29" s="25">
        <v>145.038522231505</v>
      </c>
      <c r="P29" s="25">
        <v>205.47123982796501</v>
      </c>
      <c r="Q29" s="25">
        <v>205.47123982796501</v>
      </c>
      <c r="R29" s="25">
        <v>205.47123982796501</v>
      </c>
      <c r="S29" s="25">
        <v>217.55778334725699</v>
      </c>
      <c r="T29" s="25">
        <v>217.55778334725699</v>
      </c>
      <c r="U29" s="25">
        <v>217.55778334725699</v>
      </c>
    </row>
    <row r="30" spans="1:21">
      <c r="A30" s="43" t="s">
        <v>28</v>
      </c>
      <c r="B30" s="25">
        <v>193.384696308673</v>
      </c>
      <c r="C30" s="25">
        <v>193.384696308673</v>
      </c>
      <c r="D30" s="25">
        <v>193.384696308673</v>
      </c>
      <c r="E30" s="25">
        <v>157.12506575079701</v>
      </c>
      <c r="F30" s="25">
        <v>157.12506575079701</v>
      </c>
      <c r="G30" s="25">
        <v>157.12506575079701</v>
      </c>
      <c r="H30" s="25">
        <v>96.6923481543365</v>
      </c>
      <c r="I30" s="25">
        <v>120.865435192921</v>
      </c>
      <c r="J30" s="25">
        <v>108.778891673629</v>
      </c>
      <c r="K30" s="25">
        <v>60.4327175964603</v>
      </c>
      <c r="L30" s="25">
        <v>60.4327175964603</v>
      </c>
      <c r="M30" s="25">
        <v>60.4327175964603</v>
      </c>
      <c r="N30" s="25">
        <v>96.6923481543365</v>
      </c>
      <c r="O30" s="25">
        <v>145.038522231505</v>
      </c>
      <c r="P30" s="25">
        <v>205.47123982796501</v>
      </c>
      <c r="Q30" s="25">
        <v>205.47123982796501</v>
      </c>
      <c r="R30" s="25">
        <v>205.47123982796501</v>
      </c>
      <c r="S30" s="25">
        <v>217.55778334725699</v>
      </c>
      <c r="T30" s="25">
        <v>217.55778334725699</v>
      </c>
      <c r="U30" s="25">
        <v>217.55778334725699</v>
      </c>
    </row>
    <row r="31" spans="1:21">
      <c r="A31" s="43" t="s">
        <v>29</v>
      </c>
      <c r="B31" s="25">
        <v>193.384696308673</v>
      </c>
      <c r="C31" s="25">
        <v>193.384696308673</v>
      </c>
      <c r="D31" s="25">
        <v>193.384696308673</v>
      </c>
      <c r="E31" s="25">
        <v>157.12506575079701</v>
      </c>
      <c r="F31" s="25">
        <v>157.12506575079701</v>
      </c>
      <c r="G31" s="25">
        <v>157.12506575079701</v>
      </c>
      <c r="H31" s="25">
        <v>96.6923481543365</v>
      </c>
      <c r="I31" s="25">
        <v>120.865435192921</v>
      </c>
      <c r="J31" s="25">
        <v>108.778891673629</v>
      </c>
      <c r="K31" s="25">
        <v>60.4327175964603</v>
      </c>
      <c r="L31" s="25">
        <v>60.4327175964603</v>
      </c>
      <c r="M31" s="25">
        <v>60.4327175964603</v>
      </c>
      <c r="N31" s="25">
        <v>96.6923481543365</v>
      </c>
      <c r="O31" s="25">
        <v>145.038522231505</v>
      </c>
      <c r="P31" s="25">
        <v>205.47123982796501</v>
      </c>
      <c r="Q31" s="25">
        <v>205.47123982796501</v>
      </c>
      <c r="R31" s="25">
        <v>205.47123982796501</v>
      </c>
      <c r="S31" s="25">
        <v>217.55778334725699</v>
      </c>
      <c r="T31" s="25">
        <v>217.55778334725699</v>
      </c>
      <c r="U31" s="25">
        <v>217.55778334725699</v>
      </c>
    </row>
    <row r="32" spans="1:21">
      <c r="A32" s="43" t="s">
        <v>30</v>
      </c>
      <c r="B32" s="25">
        <v>193.384696308673</v>
      </c>
      <c r="C32" s="25">
        <v>193.384696308673</v>
      </c>
      <c r="D32" s="25">
        <v>193.384696308673</v>
      </c>
      <c r="E32" s="25">
        <v>157.12506575079701</v>
      </c>
      <c r="F32" s="25">
        <v>157.12506575079701</v>
      </c>
      <c r="G32" s="25">
        <v>157.12506575079701</v>
      </c>
      <c r="H32" s="25">
        <v>96.6923481543365</v>
      </c>
      <c r="I32" s="25">
        <v>120.865435192921</v>
      </c>
      <c r="J32" s="25">
        <v>108.778891673629</v>
      </c>
      <c r="K32" s="25">
        <v>60.4327175964603</v>
      </c>
      <c r="L32" s="25">
        <v>60.4327175964603</v>
      </c>
      <c r="M32" s="25">
        <v>60.4327175964603</v>
      </c>
      <c r="N32" s="25">
        <v>96.6923481543365</v>
      </c>
      <c r="O32" s="25">
        <v>145.038522231505</v>
      </c>
      <c r="P32" s="25">
        <v>205.47123982796501</v>
      </c>
      <c r="Q32" s="25">
        <v>205.47123982796501</v>
      </c>
      <c r="R32" s="25">
        <v>205.47123982796501</v>
      </c>
      <c r="S32" s="25">
        <v>217.55778334725699</v>
      </c>
      <c r="T32" s="25">
        <v>217.55778334725699</v>
      </c>
      <c r="U32" s="25">
        <v>217.55778334725699</v>
      </c>
    </row>
    <row r="33" spans="1:21">
      <c r="A33" s="43" t="s">
        <v>31</v>
      </c>
      <c r="B33" s="25">
        <v>193.384696308673</v>
      </c>
      <c r="C33" s="25">
        <v>193.384696308673</v>
      </c>
      <c r="D33" s="25">
        <v>193.384696308673</v>
      </c>
      <c r="E33" s="25">
        <v>157.12506575079701</v>
      </c>
      <c r="F33" s="25">
        <v>157.12506575079701</v>
      </c>
      <c r="G33" s="25">
        <v>157.12506575079701</v>
      </c>
      <c r="H33" s="25">
        <v>96.6923481543365</v>
      </c>
      <c r="I33" s="25">
        <v>120.865435192921</v>
      </c>
      <c r="J33" s="25">
        <v>108.778891673629</v>
      </c>
      <c r="K33" s="25">
        <v>60.4327175964603</v>
      </c>
      <c r="L33" s="25">
        <v>60.4327175964603</v>
      </c>
      <c r="M33" s="25">
        <v>60.4327175964603</v>
      </c>
      <c r="N33" s="25">
        <v>96.6923481543365</v>
      </c>
      <c r="O33" s="25">
        <v>145.038522231505</v>
      </c>
      <c r="P33" s="25">
        <v>205.47123982796501</v>
      </c>
      <c r="Q33" s="25">
        <v>205.47123982796501</v>
      </c>
      <c r="R33" s="25">
        <v>205.47123982796501</v>
      </c>
      <c r="S33" s="25">
        <v>217.55778334725699</v>
      </c>
      <c r="T33" s="25">
        <v>217.55778334725699</v>
      </c>
      <c r="U33" s="25">
        <v>217.55778334725699</v>
      </c>
    </row>
    <row r="34" spans="1:21">
      <c r="A34" s="43" t="s">
        <v>32</v>
      </c>
      <c r="B34" s="25">
        <v>193.384696308673</v>
      </c>
      <c r="C34" s="25">
        <v>193.384696308673</v>
      </c>
      <c r="D34" s="25">
        <v>193.384696308673</v>
      </c>
      <c r="E34" s="25">
        <v>157.12506575079701</v>
      </c>
      <c r="F34" s="25">
        <v>157.12506575079701</v>
      </c>
      <c r="G34" s="25">
        <v>157.12506575079701</v>
      </c>
      <c r="H34" s="25">
        <v>96.6923481543365</v>
      </c>
      <c r="I34" s="25">
        <v>120.865435192921</v>
      </c>
      <c r="J34" s="25">
        <v>108.778891673629</v>
      </c>
      <c r="K34" s="25">
        <v>60.4327175964603</v>
      </c>
      <c r="L34" s="25">
        <v>60.4327175964603</v>
      </c>
      <c r="M34" s="25">
        <v>60.4327175964603</v>
      </c>
      <c r="N34" s="25">
        <v>96.6923481543365</v>
      </c>
      <c r="O34" s="25">
        <v>145.038522231505</v>
      </c>
      <c r="P34" s="25">
        <v>205.47123982796501</v>
      </c>
      <c r="Q34" s="25">
        <v>205.47123982796501</v>
      </c>
      <c r="R34" s="25">
        <v>205.47123982796501</v>
      </c>
      <c r="S34" s="25">
        <v>217.55778334725699</v>
      </c>
      <c r="T34" s="25">
        <v>217.55778334725699</v>
      </c>
      <c r="U34" s="25">
        <v>217.55778334725699</v>
      </c>
    </row>
    <row r="35" spans="1:21">
      <c r="A35" s="43" t="s">
        <v>33</v>
      </c>
      <c r="B35" s="25">
        <v>193.384696308673</v>
      </c>
      <c r="C35" s="25">
        <v>193.384696308673</v>
      </c>
      <c r="D35" s="25">
        <v>193.384696308673</v>
      </c>
      <c r="E35" s="25">
        <v>157.12506575079701</v>
      </c>
      <c r="F35" s="25">
        <v>157.12506575079701</v>
      </c>
      <c r="G35" s="25">
        <v>157.12506575079701</v>
      </c>
      <c r="H35" s="25">
        <v>96.6923481543365</v>
      </c>
      <c r="I35" s="25">
        <v>120.865435192921</v>
      </c>
      <c r="J35" s="25">
        <v>108.778891673629</v>
      </c>
      <c r="K35" s="25">
        <v>60.4327175964603</v>
      </c>
      <c r="L35" s="25">
        <v>60.4327175964603</v>
      </c>
      <c r="M35" s="25">
        <v>60.4327175964603</v>
      </c>
      <c r="N35" s="25">
        <v>96.6923481543365</v>
      </c>
      <c r="O35" s="25">
        <v>145.038522231505</v>
      </c>
      <c r="P35" s="25">
        <v>205.47123982796501</v>
      </c>
      <c r="Q35" s="25">
        <v>205.47123982796501</v>
      </c>
      <c r="R35" s="25">
        <v>205.47123982796501</v>
      </c>
      <c r="S35" s="25">
        <v>217.55778334725699</v>
      </c>
      <c r="T35" s="25">
        <v>217.55778334725699</v>
      </c>
      <c r="U35" s="25">
        <v>217.55778334725699</v>
      </c>
    </row>
    <row r="36" spans="1:21">
      <c r="A36" s="43" t="s">
        <v>34</v>
      </c>
      <c r="B36" s="25">
        <v>193.384696308673</v>
      </c>
      <c r="C36" s="25">
        <v>193.384696308673</v>
      </c>
      <c r="D36" s="25">
        <v>193.384696308673</v>
      </c>
      <c r="E36" s="25">
        <v>157.12506575079701</v>
      </c>
      <c r="F36" s="25">
        <v>157.12506575079701</v>
      </c>
      <c r="G36" s="25">
        <v>157.12506575079701</v>
      </c>
      <c r="H36" s="25">
        <v>96.6923481543365</v>
      </c>
      <c r="I36" s="25">
        <v>120.865435192921</v>
      </c>
      <c r="J36" s="25">
        <v>108.778891673629</v>
      </c>
      <c r="K36" s="25">
        <v>60.4327175964603</v>
      </c>
      <c r="L36" s="25">
        <v>60.4327175964603</v>
      </c>
      <c r="M36" s="25">
        <v>60.4327175964603</v>
      </c>
      <c r="N36" s="25">
        <v>96.6923481543365</v>
      </c>
      <c r="O36" s="25">
        <v>145.038522231505</v>
      </c>
      <c r="P36" s="25">
        <v>205.47123982796501</v>
      </c>
      <c r="Q36" s="25">
        <v>205.47123982796501</v>
      </c>
      <c r="R36" s="25">
        <v>205.47123982796501</v>
      </c>
      <c r="S36" s="25">
        <v>217.55778334725699</v>
      </c>
      <c r="T36" s="25">
        <v>217.55778334725699</v>
      </c>
      <c r="U36" s="25">
        <v>217.55778334725699</v>
      </c>
    </row>
    <row r="37" spans="1:21">
      <c r="A37" s="43" t="s">
        <v>35</v>
      </c>
      <c r="B37" s="25">
        <v>193.384696308673</v>
      </c>
      <c r="C37" s="25">
        <v>193.384696308673</v>
      </c>
      <c r="D37" s="25">
        <v>193.384696308673</v>
      </c>
      <c r="E37" s="25">
        <v>157.12506575079701</v>
      </c>
      <c r="F37" s="25">
        <v>157.12506575079701</v>
      </c>
      <c r="G37" s="25">
        <v>157.12506575079701</v>
      </c>
      <c r="H37" s="25">
        <v>96.6923481543365</v>
      </c>
      <c r="I37" s="25">
        <v>120.865435192921</v>
      </c>
      <c r="J37" s="25">
        <v>108.778891673629</v>
      </c>
      <c r="K37" s="25">
        <v>60.4327175964603</v>
      </c>
      <c r="L37" s="25">
        <v>60.4327175964603</v>
      </c>
      <c r="M37" s="25">
        <v>60.4327175964603</v>
      </c>
      <c r="N37" s="25">
        <v>96.6923481543365</v>
      </c>
      <c r="O37" s="25">
        <v>145.038522231505</v>
      </c>
      <c r="P37" s="25">
        <v>205.47123982796501</v>
      </c>
      <c r="Q37" s="25">
        <v>205.47123982796501</v>
      </c>
      <c r="R37" s="25">
        <v>205.47123982796501</v>
      </c>
      <c r="S37" s="25">
        <v>217.55778334725699</v>
      </c>
      <c r="T37" s="25">
        <v>217.55778334725699</v>
      </c>
      <c r="U37" s="25">
        <v>217.55778334725699</v>
      </c>
    </row>
    <row r="38" spans="1:21">
      <c r="A38" s="43" t="s">
        <v>36</v>
      </c>
      <c r="B38" s="25">
        <v>193.384696308673</v>
      </c>
      <c r="C38" s="25">
        <v>193.384696308673</v>
      </c>
      <c r="D38" s="25">
        <v>193.384696308673</v>
      </c>
      <c r="E38" s="25">
        <v>157.12506575079701</v>
      </c>
      <c r="F38" s="25">
        <v>157.12506575079701</v>
      </c>
      <c r="G38" s="25">
        <v>157.12506575079701</v>
      </c>
      <c r="H38" s="25">
        <v>96.6923481543365</v>
      </c>
      <c r="I38" s="25">
        <v>120.865435192921</v>
      </c>
      <c r="J38" s="25">
        <v>108.778891673629</v>
      </c>
      <c r="K38" s="25">
        <v>60.4327175964603</v>
      </c>
      <c r="L38" s="25">
        <v>60.4327175964603</v>
      </c>
      <c r="M38" s="25">
        <v>60.4327175964603</v>
      </c>
      <c r="N38" s="25">
        <v>96.6923481543365</v>
      </c>
      <c r="O38" s="25">
        <v>145.038522231505</v>
      </c>
      <c r="P38" s="25">
        <v>205.47123982796501</v>
      </c>
      <c r="Q38" s="25">
        <v>205.47123982796501</v>
      </c>
      <c r="R38" s="25">
        <v>205.47123982796501</v>
      </c>
      <c r="S38" s="25">
        <v>217.55778334725699</v>
      </c>
      <c r="T38" s="25">
        <v>217.55778334725699</v>
      </c>
      <c r="U38" s="25">
        <v>217.55778334725699</v>
      </c>
    </row>
    <row r="39" spans="1:21">
      <c r="A39" s="43" t="s">
        <v>37</v>
      </c>
      <c r="B39" s="25">
        <v>193.384696308673</v>
      </c>
      <c r="C39" s="25">
        <v>193.384696308673</v>
      </c>
      <c r="D39" s="25">
        <v>193.384696308673</v>
      </c>
      <c r="E39" s="25">
        <v>157.12506575079701</v>
      </c>
      <c r="F39" s="25">
        <v>157.12506575079701</v>
      </c>
      <c r="G39" s="25">
        <v>157.12506575079701</v>
      </c>
      <c r="H39" s="25">
        <v>96.6923481543365</v>
      </c>
      <c r="I39" s="25">
        <v>120.865435192921</v>
      </c>
      <c r="J39" s="25">
        <v>108.778891673629</v>
      </c>
      <c r="K39" s="25">
        <v>60.4327175964603</v>
      </c>
      <c r="L39" s="25">
        <v>60.4327175964603</v>
      </c>
      <c r="M39" s="25">
        <v>60.4327175964603</v>
      </c>
      <c r="N39" s="25">
        <v>96.6923481543365</v>
      </c>
      <c r="O39" s="25">
        <v>145.038522231505</v>
      </c>
      <c r="P39" s="25">
        <v>205.47123982796501</v>
      </c>
      <c r="Q39" s="25">
        <v>205.47123982796501</v>
      </c>
      <c r="R39" s="25">
        <v>205.47123982796501</v>
      </c>
      <c r="S39" s="25">
        <v>217.55778334725699</v>
      </c>
      <c r="T39" s="25">
        <v>217.55778334725699</v>
      </c>
      <c r="U39" s="25">
        <v>217.55778334725699</v>
      </c>
    </row>
    <row r="40" spans="1:21">
      <c r="A40" s="43" t="s">
        <v>38</v>
      </c>
      <c r="B40" s="25">
        <v>193.384696308673</v>
      </c>
      <c r="C40" s="25">
        <v>193.384696308673</v>
      </c>
      <c r="D40" s="25">
        <v>193.384696308673</v>
      </c>
      <c r="E40" s="25">
        <v>157.12506575079701</v>
      </c>
      <c r="F40" s="25">
        <v>157.12506575079701</v>
      </c>
      <c r="G40" s="25">
        <v>157.12506575079701</v>
      </c>
      <c r="H40" s="25">
        <v>96.6923481543365</v>
      </c>
      <c r="I40" s="25">
        <v>120.865435192921</v>
      </c>
      <c r="J40" s="25">
        <v>108.778891673629</v>
      </c>
      <c r="K40" s="25">
        <v>60.4327175964603</v>
      </c>
      <c r="L40" s="25">
        <v>60.4327175964603</v>
      </c>
      <c r="M40" s="25">
        <v>60.4327175964603</v>
      </c>
      <c r="N40" s="25">
        <v>96.6923481543365</v>
      </c>
      <c r="O40" s="25">
        <v>145.038522231505</v>
      </c>
      <c r="P40" s="25">
        <v>205.47123982796501</v>
      </c>
      <c r="Q40" s="25">
        <v>205.47123982796501</v>
      </c>
      <c r="R40" s="25">
        <v>205.47123982796501</v>
      </c>
      <c r="S40" s="25">
        <v>217.55778334725699</v>
      </c>
      <c r="T40" s="25">
        <v>217.55778334725699</v>
      </c>
      <c r="U40" s="25">
        <v>217.55778334725699</v>
      </c>
    </row>
    <row r="41" spans="1:21">
      <c r="A41" s="43" t="s">
        <v>39</v>
      </c>
      <c r="B41" s="25">
        <v>193.384696308673</v>
      </c>
      <c r="C41" s="25">
        <v>193.384696308673</v>
      </c>
      <c r="D41" s="25">
        <v>193.384696308673</v>
      </c>
      <c r="E41" s="25">
        <v>157.12506575079701</v>
      </c>
      <c r="F41" s="25">
        <v>157.12506575079701</v>
      </c>
      <c r="G41" s="25">
        <v>157.12506575079701</v>
      </c>
      <c r="H41" s="25">
        <v>96.6923481543365</v>
      </c>
      <c r="I41" s="25">
        <v>120.865435192921</v>
      </c>
      <c r="J41" s="25">
        <v>108.778891673629</v>
      </c>
      <c r="K41" s="25">
        <v>60.4327175964603</v>
      </c>
      <c r="L41" s="25">
        <v>60.4327175964603</v>
      </c>
      <c r="M41" s="25">
        <v>60.4327175964603</v>
      </c>
      <c r="N41" s="25">
        <v>96.6923481543365</v>
      </c>
      <c r="O41" s="25">
        <v>145.038522231505</v>
      </c>
      <c r="P41" s="25">
        <v>205.47123982796501</v>
      </c>
      <c r="Q41" s="25">
        <v>205.47123982796501</v>
      </c>
      <c r="R41" s="25">
        <v>205.47123982796501</v>
      </c>
      <c r="S41" s="25">
        <v>217.55778334725699</v>
      </c>
      <c r="T41" s="25">
        <v>217.55778334725699</v>
      </c>
      <c r="U41" s="25">
        <v>217.55778334725699</v>
      </c>
    </row>
    <row r="42" spans="1:21">
      <c r="A42" s="43" t="s">
        <v>40</v>
      </c>
      <c r="B42" s="25">
        <v>193.384696308673</v>
      </c>
      <c r="C42" s="25">
        <v>193.384696308673</v>
      </c>
      <c r="D42" s="25">
        <v>193.384696308673</v>
      </c>
      <c r="E42" s="25">
        <v>157.12506575079701</v>
      </c>
      <c r="F42" s="25">
        <v>157.12506575079701</v>
      </c>
      <c r="G42" s="25">
        <v>157.12506575079701</v>
      </c>
      <c r="H42" s="25">
        <v>96.6923481543365</v>
      </c>
      <c r="I42" s="25">
        <v>120.865435192921</v>
      </c>
      <c r="J42" s="25">
        <v>108.778891673629</v>
      </c>
      <c r="K42" s="25">
        <v>60.4327175964603</v>
      </c>
      <c r="L42" s="25">
        <v>60.4327175964603</v>
      </c>
      <c r="M42" s="25">
        <v>60.4327175964603</v>
      </c>
      <c r="N42" s="25">
        <v>96.6923481543365</v>
      </c>
      <c r="O42" s="25">
        <v>145.038522231505</v>
      </c>
      <c r="P42" s="25">
        <v>205.47123982796501</v>
      </c>
      <c r="Q42" s="25">
        <v>205.47123982796501</v>
      </c>
      <c r="R42" s="25">
        <v>205.47123982796501</v>
      </c>
      <c r="S42" s="25">
        <v>217.55778334725699</v>
      </c>
      <c r="T42" s="25">
        <v>217.55778334725699</v>
      </c>
      <c r="U42" s="25">
        <v>217.55778334725699</v>
      </c>
    </row>
    <row r="43" spans="1:21">
      <c r="A43" s="43" t="s">
        <v>41</v>
      </c>
      <c r="B43" s="25">
        <v>193.384696308673</v>
      </c>
      <c r="C43" s="25">
        <v>193.384696308673</v>
      </c>
      <c r="D43" s="25">
        <v>193.384696308673</v>
      </c>
      <c r="E43" s="25">
        <v>157.12506575079701</v>
      </c>
      <c r="F43" s="25">
        <v>157.12506575079701</v>
      </c>
      <c r="G43" s="25">
        <v>157.12506575079701</v>
      </c>
      <c r="H43" s="25">
        <v>96.6923481543365</v>
      </c>
      <c r="I43" s="25">
        <v>120.865435192921</v>
      </c>
      <c r="J43" s="25">
        <v>108.778891673629</v>
      </c>
      <c r="K43" s="25">
        <v>60.4327175964603</v>
      </c>
      <c r="L43" s="25">
        <v>60.4327175964603</v>
      </c>
      <c r="M43" s="25">
        <v>60.4327175964603</v>
      </c>
      <c r="N43" s="25">
        <v>96.6923481543365</v>
      </c>
      <c r="O43" s="25">
        <v>145.038522231505</v>
      </c>
      <c r="P43" s="25">
        <v>205.47123982796501</v>
      </c>
      <c r="Q43" s="25">
        <v>205.47123982796501</v>
      </c>
      <c r="R43" s="25">
        <v>205.47123982796501</v>
      </c>
      <c r="S43" s="25">
        <v>217.55778334725699</v>
      </c>
      <c r="T43" s="25">
        <v>217.55778334725699</v>
      </c>
      <c r="U43" s="25">
        <v>217.55778334725699</v>
      </c>
    </row>
    <row r="44" spans="1:21">
      <c r="A44" s="43" t="s">
        <v>42</v>
      </c>
      <c r="B44" s="25">
        <v>193.384696308673</v>
      </c>
      <c r="C44" s="25">
        <v>193.384696308673</v>
      </c>
      <c r="D44" s="25">
        <v>193.384696308673</v>
      </c>
      <c r="E44" s="25">
        <v>157.12506575079701</v>
      </c>
      <c r="F44" s="25">
        <v>157.12506575079701</v>
      </c>
      <c r="G44" s="25">
        <v>157.12506575079701</v>
      </c>
      <c r="H44" s="25">
        <v>96.6923481543365</v>
      </c>
      <c r="I44" s="25">
        <v>120.865435192921</v>
      </c>
      <c r="J44" s="25">
        <v>108.778891673629</v>
      </c>
      <c r="K44" s="25">
        <v>60.4327175964603</v>
      </c>
      <c r="L44" s="25">
        <v>60.4327175964603</v>
      </c>
      <c r="M44" s="25">
        <v>60.4327175964603</v>
      </c>
      <c r="N44" s="25">
        <v>96.6923481543365</v>
      </c>
      <c r="O44" s="25">
        <v>145.038522231505</v>
      </c>
      <c r="P44" s="25">
        <v>205.47123982796501</v>
      </c>
      <c r="Q44" s="25">
        <v>205.47123982796501</v>
      </c>
      <c r="R44" s="25">
        <v>205.47123982796501</v>
      </c>
      <c r="S44" s="25">
        <v>217.55778334725699</v>
      </c>
      <c r="T44" s="25">
        <v>217.55778334725699</v>
      </c>
      <c r="U44" s="25">
        <v>217.55778334725699</v>
      </c>
    </row>
    <row r="45" spans="1:21">
      <c r="A45" s="43" t="s">
        <v>43</v>
      </c>
      <c r="B45" s="25">
        <v>193.384696308673</v>
      </c>
      <c r="C45" s="25">
        <v>193.384696308673</v>
      </c>
      <c r="D45" s="25">
        <v>193.384696308673</v>
      </c>
      <c r="E45" s="25">
        <v>157.12506575079701</v>
      </c>
      <c r="F45" s="25">
        <v>157.12506575079701</v>
      </c>
      <c r="G45" s="25">
        <v>157.12506575079701</v>
      </c>
      <c r="H45" s="25">
        <v>96.6923481543365</v>
      </c>
      <c r="I45" s="25">
        <v>120.865435192921</v>
      </c>
      <c r="J45" s="25">
        <v>108.778891673629</v>
      </c>
      <c r="K45" s="25">
        <v>60.4327175964603</v>
      </c>
      <c r="L45" s="25">
        <v>60.4327175964603</v>
      </c>
      <c r="M45" s="25">
        <v>60.4327175964603</v>
      </c>
      <c r="N45" s="25">
        <v>96.6923481543365</v>
      </c>
      <c r="O45" s="25">
        <v>145.038522231505</v>
      </c>
      <c r="P45" s="25">
        <v>205.47123982796501</v>
      </c>
      <c r="Q45" s="25">
        <v>205.47123982796501</v>
      </c>
      <c r="R45" s="25">
        <v>205.47123982796501</v>
      </c>
      <c r="S45" s="25">
        <v>217.55778334725699</v>
      </c>
      <c r="T45" s="25">
        <v>217.55778334725699</v>
      </c>
      <c r="U45" s="25">
        <v>217.55778334725699</v>
      </c>
    </row>
    <row r="46" spans="1:21">
      <c r="A46" s="43" t="s">
        <v>44</v>
      </c>
      <c r="B46" s="25">
        <v>193.384696308673</v>
      </c>
      <c r="C46" s="25">
        <v>193.384696308673</v>
      </c>
      <c r="D46" s="25">
        <v>193.384696308673</v>
      </c>
      <c r="E46" s="25">
        <v>157.12506575079701</v>
      </c>
      <c r="F46" s="25">
        <v>157.12506575079701</v>
      </c>
      <c r="G46" s="25">
        <v>157.12506575079701</v>
      </c>
      <c r="H46" s="25">
        <v>96.6923481543365</v>
      </c>
      <c r="I46" s="25">
        <v>120.865435192921</v>
      </c>
      <c r="J46" s="25">
        <v>108.778891673629</v>
      </c>
      <c r="K46" s="25">
        <v>60.4327175964603</v>
      </c>
      <c r="L46" s="25">
        <v>60.4327175964603</v>
      </c>
      <c r="M46" s="25">
        <v>60.4327175964603</v>
      </c>
      <c r="N46" s="25">
        <v>96.6923481543365</v>
      </c>
      <c r="O46" s="25">
        <v>145.038522231505</v>
      </c>
      <c r="P46" s="25">
        <v>205.47123982796501</v>
      </c>
      <c r="Q46" s="25">
        <v>205.47123982796501</v>
      </c>
      <c r="R46" s="25">
        <v>205.47123982796501</v>
      </c>
      <c r="S46" s="25">
        <v>217.55778334725699</v>
      </c>
      <c r="T46" s="25">
        <v>217.55778334725699</v>
      </c>
      <c r="U46" s="25">
        <v>217.55778334725699</v>
      </c>
    </row>
    <row r="47" spans="1:21">
      <c r="A47" s="43" t="s">
        <v>45</v>
      </c>
      <c r="B47" s="25">
        <v>193.384696308673</v>
      </c>
      <c r="C47" s="25">
        <v>193.384696308673</v>
      </c>
      <c r="D47" s="25">
        <v>193.384696308673</v>
      </c>
      <c r="E47" s="25">
        <v>157.12506575079701</v>
      </c>
      <c r="F47" s="25">
        <v>157.12506575079701</v>
      </c>
      <c r="G47" s="25">
        <v>157.12506575079701</v>
      </c>
      <c r="H47" s="25">
        <v>96.6923481543365</v>
      </c>
      <c r="I47" s="25">
        <v>120.865435192921</v>
      </c>
      <c r="J47" s="25">
        <v>108.778891673629</v>
      </c>
      <c r="K47" s="25">
        <v>60.4327175964603</v>
      </c>
      <c r="L47" s="25">
        <v>60.4327175964603</v>
      </c>
      <c r="M47" s="25">
        <v>60.4327175964603</v>
      </c>
      <c r="N47" s="25">
        <v>96.6923481543365</v>
      </c>
      <c r="O47" s="25">
        <v>145.038522231505</v>
      </c>
      <c r="P47" s="25">
        <v>205.47123982796501</v>
      </c>
      <c r="Q47" s="25">
        <v>205.47123982796501</v>
      </c>
      <c r="R47" s="25">
        <v>205.47123982796501</v>
      </c>
      <c r="S47" s="25">
        <v>217.55778334725699</v>
      </c>
      <c r="T47" s="25">
        <v>217.55778334725699</v>
      </c>
      <c r="U47" s="25">
        <v>217.55778334725699</v>
      </c>
    </row>
    <row r="48" spans="1:21">
      <c r="A48" s="43" t="s">
        <v>119</v>
      </c>
      <c r="B48" s="25">
        <v>193.384696308673</v>
      </c>
      <c r="C48" s="25">
        <v>193.384696308673</v>
      </c>
      <c r="D48" s="25">
        <v>193.384696308673</v>
      </c>
      <c r="E48" s="25">
        <v>157.12506575079701</v>
      </c>
      <c r="F48" s="25">
        <v>157.12506575079701</v>
      </c>
      <c r="G48" s="25">
        <v>157.12506575079701</v>
      </c>
      <c r="H48" s="25">
        <v>96.6923481543365</v>
      </c>
      <c r="I48" s="25">
        <v>120.865435192921</v>
      </c>
      <c r="J48" s="25">
        <v>108.778891673629</v>
      </c>
      <c r="K48" s="25">
        <v>60.4327175964603</v>
      </c>
      <c r="L48" s="25">
        <v>60.4327175964603</v>
      </c>
      <c r="M48" s="25">
        <v>60.4327175964603</v>
      </c>
      <c r="N48" s="25">
        <v>96.6923481543365</v>
      </c>
      <c r="O48" s="25">
        <v>145.038522231505</v>
      </c>
      <c r="P48" s="25">
        <v>205.47123982796501</v>
      </c>
      <c r="Q48" s="25">
        <v>205.47123982796501</v>
      </c>
      <c r="R48" s="25">
        <v>205.47123982796501</v>
      </c>
      <c r="S48" s="25">
        <v>217.55778334725699</v>
      </c>
      <c r="T48" s="25">
        <v>217.55778334725699</v>
      </c>
      <c r="U48" s="25">
        <v>217.55778334725699</v>
      </c>
    </row>
    <row r="49" spans="1:21">
      <c r="A49" s="43" t="s">
        <v>120</v>
      </c>
      <c r="B49" s="25">
        <v>193.384696308673</v>
      </c>
      <c r="C49" s="25">
        <v>193.384696308673</v>
      </c>
      <c r="D49" s="25">
        <v>193.384696308673</v>
      </c>
      <c r="E49" s="25">
        <v>157.12506575079701</v>
      </c>
      <c r="F49" s="25">
        <v>157.12506575079701</v>
      </c>
      <c r="G49" s="25">
        <v>157.12506575079701</v>
      </c>
      <c r="H49" s="25">
        <v>96.6923481543365</v>
      </c>
      <c r="I49" s="25">
        <v>120.865435192921</v>
      </c>
      <c r="J49" s="25">
        <v>108.778891673629</v>
      </c>
      <c r="K49" s="25">
        <v>60.4327175964603</v>
      </c>
      <c r="L49" s="25">
        <v>60.4327175964603</v>
      </c>
      <c r="M49" s="25">
        <v>60.4327175964603</v>
      </c>
      <c r="N49" s="25">
        <v>96.6923481543365</v>
      </c>
      <c r="O49" s="25">
        <v>145.038522231505</v>
      </c>
      <c r="P49" s="25">
        <v>205.47123982796501</v>
      </c>
      <c r="Q49" s="25">
        <v>205.47123982796501</v>
      </c>
      <c r="R49" s="25">
        <v>205.47123982796501</v>
      </c>
      <c r="S49" s="25">
        <v>217.55778334725699</v>
      </c>
      <c r="T49" s="25">
        <v>217.55778334725699</v>
      </c>
      <c r="U49" s="25">
        <v>217.55778334725699</v>
      </c>
    </row>
    <row r="50" spans="1:21">
      <c r="A50" s="43" t="s">
        <v>121</v>
      </c>
      <c r="B50" s="25">
        <v>193.384696308673</v>
      </c>
      <c r="C50" s="25">
        <v>193.384696308673</v>
      </c>
      <c r="D50" s="25">
        <v>193.384696308673</v>
      </c>
      <c r="E50" s="25">
        <v>157.12506575079701</v>
      </c>
      <c r="F50" s="25">
        <v>157.12506575079701</v>
      </c>
      <c r="G50" s="25">
        <v>157.12506575079701</v>
      </c>
      <c r="H50" s="25">
        <v>96.6923481543365</v>
      </c>
      <c r="I50" s="25">
        <v>120.865435192921</v>
      </c>
      <c r="J50" s="25">
        <v>108.778891673629</v>
      </c>
      <c r="K50" s="25">
        <v>60.4327175964603</v>
      </c>
      <c r="L50" s="25">
        <v>60.4327175964603</v>
      </c>
      <c r="M50" s="25">
        <v>60.4327175964603</v>
      </c>
      <c r="N50" s="25">
        <v>96.6923481543365</v>
      </c>
      <c r="O50" s="25">
        <v>145.038522231505</v>
      </c>
      <c r="P50" s="25">
        <v>205.47123982796501</v>
      </c>
      <c r="Q50" s="25">
        <v>205.47123982796501</v>
      </c>
      <c r="R50" s="25">
        <v>205.47123982796501</v>
      </c>
      <c r="S50" s="25">
        <v>217.55778334725699</v>
      </c>
      <c r="T50" s="25">
        <v>217.55778334725699</v>
      </c>
      <c r="U50" s="25">
        <v>217.55778334725699</v>
      </c>
    </row>
    <row r="51" spans="1:21">
      <c r="A51" s="43" t="s">
        <v>122</v>
      </c>
      <c r="B51" s="25">
        <v>193.384696308673</v>
      </c>
      <c r="C51" s="25">
        <v>193.384696308673</v>
      </c>
      <c r="D51" s="25">
        <v>193.384696308673</v>
      </c>
      <c r="E51" s="25">
        <v>157.12506575079701</v>
      </c>
      <c r="F51" s="25">
        <v>157.12506575079701</v>
      </c>
      <c r="G51" s="25">
        <v>157.12506575079701</v>
      </c>
      <c r="H51" s="25">
        <v>96.6923481543365</v>
      </c>
      <c r="I51" s="25">
        <v>120.865435192921</v>
      </c>
      <c r="J51" s="25">
        <v>108.778891673629</v>
      </c>
      <c r="K51" s="25">
        <v>60.4327175964603</v>
      </c>
      <c r="L51" s="25">
        <v>60.4327175964603</v>
      </c>
      <c r="M51" s="25">
        <v>60.4327175964603</v>
      </c>
      <c r="N51" s="25">
        <v>96.6923481543365</v>
      </c>
      <c r="O51" s="25">
        <v>145.038522231505</v>
      </c>
      <c r="P51" s="25">
        <v>205.47123982796501</v>
      </c>
      <c r="Q51" s="25">
        <v>205.47123982796501</v>
      </c>
      <c r="R51" s="25">
        <v>205.47123982796501</v>
      </c>
      <c r="S51" s="25">
        <v>217.55778334725699</v>
      </c>
      <c r="T51" s="25">
        <v>217.55778334725699</v>
      </c>
      <c r="U51" s="25">
        <v>217.55778334725699</v>
      </c>
    </row>
    <row r="52" spans="1:21">
      <c r="A52" s="43" t="s">
        <v>123</v>
      </c>
      <c r="B52" s="25">
        <v>193.384696308673</v>
      </c>
      <c r="C52" s="25">
        <v>193.384696308673</v>
      </c>
      <c r="D52" s="25">
        <v>193.384696308673</v>
      </c>
      <c r="E52" s="25">
        <v>157.12506575079701</v>
      </c>
      <c r="F52" s="25">
        <v>157.12506575079701</v>
      </c>
      <c r="G52" s="25">
        <v>157.12506575079701</v>
      </c>
      <c r="H52" s="25">
        <v>96.6923481543365</v>
      </c>
      <c r="I52" s="25">
        <v>120.865435192921</v>
      </c>
      <c r="J52" s="25">
        <v>108.778891673629</v>
      </c>
      <c r="K52" s="25">
        <v>60.4327175964603</v>
      </c>
      <c r="L52" s="25">
        <v>60.4327175964603</v>
      </c>
      <c r="M52" s="25">
        <v>60.4327175964603</v>
      </c>
      <c r="N52" s="25">
        <v>96.6923481543365</v>
      </c>
      <c r="O52" s="25">
        <v>145.038522231505</v>
      </c>
      <c r="P52" s="25">
        <v>205.47123982796501</v>
      </c>
      <c r="Q52" s="25">
        <v>205.47123982796501</v>
      </c>
      <c r="R52" s="25">
        <v>205.47123982796501</v>
      </c>
      <c r="S52" s="25">
        <v>217.55778334725699</v>
      </c>
      <c r="T52" s="25">
        <v>217.55778334725699</v>
      </c>
      <c r="U52" s="25">
        <v>217.55778334725699</v>
      </c>
    </row>
    <row r="53" spans="1:21">
      <c r="A53" s="43" t="s">
        <v>124</v>
      </c>
      <c r="B53" s="25">
        <v>193.384696308673</v>
      </c>
      <c r="C53" s="25">
        <v>193.384696308673</v>
      </c>
      <c r="D53" s="25">
        <v>193.384696308673</v>
      </c>
      <c r="E53" s="25">
        <v>157.12506575079701</v>
      </c>
      <c r="F53" s="25">
        <v>157.12506575079701</v>
      </c>
      <c r="G53" s="25">
        <v>157.12506575079701</v>
      </c>
      <c r="H53" s="25">
        <v>96.6923481543365</v>
      </c>
      <c r="I53" s="25">
        <v>120.865435192921</v>
      </c>
      <c r="J53" s="25">
        <v>108.778891673629</v>
      </c>
      <c r="K53" s="25">
        <v>60.4327175964603</v>
      </c>
      <c r="L53" s="25">
        <v>60.4327175964603</v>
      </c>
      <c r="M53" s="25">
        <v>60.4327175964603</v>
      </c>
      <c r="N53" s="25">
        <v>96.6923481543365</v>
      </c>
      <c r="O53" s="25">
        <v>145.038522231505</v>
      </c>
      <c r="P53" s="25">
        <v>205.47123982796501</v>
      </c>
      <c r="Q53" s="25">
        <v>205.47123982796501</v>
      </c>
      <c r="R53" s="25">
        <v>205.47123982796501</v>
      </c>
      <c r="S53" s="25">
        <v>217.55778334725699</v>
      </c>
      <c r="T53" s="25">
        <v>217.55778334725699</v>
      </c>
      <c r="U53" s="25">
        <v>217.55778334725699</v>
      </c>
    </row>
    <row r="54" spans="1:21">
      <c r="A54" s="43" t="s">
        <v>125</v>
      </c>
      <c r="B54" s="25">
        <v>193.384696308673</v>
      </c>
      <c r="C54" s="25">
        <v>193.384696308673</v>
      </c>
      <c r="D54" s="25">
        <v>193.384696308673</v>
      </c>
      <c r="E54" s="25">
        <v>157.12506575079701</v>
      </c>
      <c r="F54" s="25">
        <v>157.12506575079701</v>
      </c>
      <c r="G54" s="25">
        <v>157.12506575079701</v>
      </c>
      <c r="H54" s="25">
        <v>96.6923481543365</v>
      </c>
      <c r="I54" s="25">
        <v>120.865435192921</v>
      </c>
      <c r="J54" s="25">
        <v>108.778891673629</v>
      </c>
      <c r="K54" s="25">
        <v>60.4327175964603</v>
      </c>
      <c r="L54" s="25">
        <v>60.4327175964603</v>
      </c>
      <c r="M54" s="25">
        <v>60.4327175964603</v>
      </c>
      <c r="N54" s="25">
        <v>96.6923481543365</v>
      </c>
      <c r="O54" s="25">
        <v>145.038522231505</v>
      </c>
      <c r="P54" s="25">
        <v>205.47123982796501</v>
      </c>
      <c r="Q54" s="25">
        <v>205.47123982796501</v>
      </c>
      <c r="R54" s="25">
        <v>205.47123982796501</v>
      </c>
      <c r="S54" s="25">
        <v>217.55778334725699</v>
      </c>
      <c r="T54" s="25">
        <v>217.55778334725699</v>
      </c>
      <c r="U54" s="25">
        <v>217.55778334725699</v>
      </c>
    </row>
    <row r="55" spans="1:21">
      <c r="A55" s="43" t="s">
        <v>126</v>
      </c>
      <c r="B55" s="25">
        <v>193.384696308673</v>
      </c>
      <c r="C55" s="25">
        <v>193.384696308673</v>
      </c>
      <c r="D55" s="25">
        <v>193.384696308673</v>
      </c>
      <c r="E55" s="25">
        <v>157.12506575079701</v>
      </c>
      <c r="F55" s="25">
        <v>157.12506575079701</v>
      </c>
      <c r="G55" s="25">
        <v>157.12506575079701</v>
      </c>
      <c r="H55" s="25">
        <v>96.6923481543365</v>
      </c>
      <c r="I55" s="25">
        <v>120.865435192921</v>
      </c>
      <c r="J55" s="25">
        <v>108.778891673629</v>
      </c>
      <c r="K55" s="25">
        <v>60.4327175964603</v>
      </c>
      <c r="L55" s="25">
        <v>60.4327175964603</v>
      </c>
      <c r="M55" s="25">
        <v>60.4327175964603</v>
      </c>
      <c r="N55" s="25">
        <v>96.6923481543365</v>
      </c>
      <c r="O55" s="25">
        <v>145.038522231505</v>
      </c>
      <c r="P55" s="25">
        <v>205.47123982796501</v>
      </c>
      <c r="Q55" s="25">
        <v>205.47123982796501</v>
      </c>
      <c r="R55" s="25">
        <v>205.47123982796501</v>
      </c>
      <c r="S55" s="25">
        <v>217.55778334725699</v>
      </c>
      <c r="T55" s="25">
        <v>217.55778334725699</v>
      </c>
      <c r="U55" s="25">
        <v>217.55778334725699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0D8E-2F00-5B4E-8E39-40ED7591D9C7}">
  <dimension ref="A1:U55"/>
  <sheetViews>
    <sheetView workbookViewId="0">
      <selection activeCell="S16" sqref="S16"/>
    </sheetView>
  </sheetViews>
  <sheetFormatPr baseColWidth="10" defaultRowHeight="15"/>
  <sheetData>
    <row r="1" spans="1:21" ht="16">
      <c r="A1" s="63" t="s">
        <v>18</v>
      </c>
      <c r="B1" s="64" t="s">
        <v>5</v>
      </c>
      <c r="C1" s="64" t="s">
        <v>6</v>
      </c>
      <c r="D1" s="64" t="s">
        <v>7</v>
      </c>
      <c r="E1" s="65" t="s">
        <v>8</v>
      </c>
      <c r="F1" s="65" t="s">
        <v>9</v>
      </c>
      <c r="G1" s="65" t="s">
        <v>10</v>
      </c>
      <c r="H1" s="64">
        <v>9</v>
      </c>
      <c r="I1" s="64">
        <v>10</v>
      </c>
      <c r="J1" s="64">
        <v>11</v>
      </c>
      <c r="K1" s="64">
        <v>12</v>
      </c>
      <c r="L1" s="64">
        <v>1</v>
      </c>
      <c r="M1" s="64">
        <v>2</v>
      </c>
      <c r="N1" s="64">
        <v>3</v>
      </c>
      <c r="O1" s="64">
        <v>4</v>
      </c>
      <c r="P1" s="65" t="s">
        <v>11</v>
      </c>
      <c r="Q1" s="65" t="s">
        <v>12</v>
      </c>
      <c r="R1" s="65" t="s">
        <v>13</v>
      </c>
      <c r="S1" s="65" t="s">
        <v>14</v>
      </c>
      <c r="T1" s="65" t="s">
        <v>15</v>
      </c>
      <c r="U1" s="65" t="s">
        <v>16</v>
      </c>
    </row>
    <row r="2" spans="1:21">
      <c r="A2" s="43" t="s">
        <v>46</v>
      </c>
      <c r="B2" s="25">
        <v>193.384696308673</v>
      </c>
      <c r="C2" s="25">
        <v>193.384696308673</v>
      </c>
      <c r="D2" s="25">
        <v>193.384696308673</v>
      </c>
      <c r="E2" s="25">
        <v>157.12506575079701</v>
      </c>
      <c r="F2" s="25">
        <v>157.12506575079701</v>
      </c>
      <c r="G2" s="25">
        <v>157.12506575079701</v>
      </c>
      <c r="H2" s="25">
        <v>96.6923481543365</v>
      </c>
      <c r="I2" s="25">
        <v>120.865435192921</v>
      </c>
      <c r="J2" s="25">
        <v>108.778891673629</v>
      </c>
      <c r="K2" s="25">
        <v>60.4327175964603</v>
      </c>
      <c r="L2" s="25">
        <v>60.4327175964603</v>
      </c>
      <c r="M2" s="25">
        <v>60.4327175964603</v>
      </c>
      <c r="N2" s="25">
        <v>96.6923481543365</v>
      </c>
      <c r="O2" s="25">
        <v>145.038522231505</v>
      </c>
      <c r="P2" s="25">
        <v>205.47123982796501</v>
      </c>
      <c r="Q2" s="25">
        <v>205.47123982796501</v>
      </c>
      <c r="R2" s="25">
        <v>205.47123982796501</v>
      </c>
      <c r="S2" s="25">
        <v>217.55778334725699</v>
      </c>
      <c r="T2" s="25">
        <v>217.55778334725699</v>
      </c>
      <c r="U2" s="25">
        <v>217.55778334725699</v>
      </c>
    </row>
    <row r="3" spans="1:21">
      <c r="A3" s="43" t="s">
        <v>47</v>
      </c>
      <c r="B3" s="25">
        <v>193.384696308673</v>
      </c>
      <c r="C3" s="25">
        <v>193.384696308673</v>
      </c>
      <c r="D3" s="25">
        <v>193.384696308673</v>
      </c>
      <c r="E3" s="25">
        <v>157.12506575079701</v>
      </c>
      <c r="F3" s="25">
        <v>157.12506575079701</v>
      </c>
      <c r="G3" s="25">
        <v>157.12506575079701</v>
      </c>
      <c r="H3" s="25">
        <v>96.6923481543365</v>
      </c>
      <c r="I3" s="25">
        <v>120.865435192921</v>
      </c>
      <c r="J3" s="25">
        <v>108.778891673629</v>
      </c>
      <c r="K3" s="25">
        <v>60.4327175964603</v>
      </c>
      <c r="L3" s="25">
        <v>60.4327175964603</v>
      </c>
      <c r="M3" s="25">
        <v>60.4327175964603</v>
      </c>
      <c r="N3" s="25">
        <v>96.6923481543365</v>
      </c>
      <c r="O3" s="25">
        <v>145.038522231505</v>
      </c>
      <c r="P3" s="25">
        <v>205.47123982796501</v>
      </c>
      <c r="Q3" s="25">
        <v>205.47123982796501</v>
      </c>
      <c r="R3" s="25">
        <v>205.47123982796501</v>
      </c>
      <c r="S3" s="25">
        <v>217.55778334725699</v>
      </c>
      <c r="T3" s="25">
        <v>217.55778334725699</v>
      </c>
      <c r="U3" s="25">
        <v>217.55778334725699</v>
      </c>
    </row>
    <row r="4" spans="1:21">
      <c r="A4" s="43" t="s">
        <v>48</v>
      </c>
      <c r="B4" s="25">
        <v>193.384696308673</v>
      </c>
      <c r="C4" s="25">
        <v>193.384696308673</v>
      </c>
      <c r="D4" s="25">
        <v>193.384696308673</v>
      </c>
      <c r="E4" s="25">
        <v>157.12506575079701</v>
      </c>
      <c r="F4" s="25">
        <v>157.12506575079701</v>
      </c>
      <c r="G4" s="25">
        <v>157.12506575079701</v>
      </c>
      <c r="H4" s="25">
        <v>96.6923481543365</v>
      </c>
      <c r="I4" s="25">
        <v>120.865435192921</v>
      </c>
      <c r="J4" s="25">
        <v>108.778891673629</v>
      </c>
      <c r="K4" s="25">
        <v>60.4327175964603</v>
      </c>
      <c r="L4" s="25">
        <v>60.4327175964603</v>
      </c>
      <c r="M4" s="25">
        <v>60.4327175964603</v>
      </c>
      <c r="N4" s="25">
        <v>96.6923481543365</v>
      </c>
      <c r="O4" s="25">
        <v>145.038522231505</v>
      </c>
      <c r="P4" s="25">
        <v>205.47123982796501</v>
      </c>
      <c r="Q4" s="25">
        <v>205.47123982796501</v>
      </c>
      <c r="R4" s="25">
        <v>205.47123982796501</v>
      </c>
      <c r="S4" s="25">
        <v>217.55778334725699</v>
      </c>
      <c r="T4" s="25">
        <v>217.55778334725699</v>
      </c>
      <c r="U4" s="25">
        <v>217.55778334725699</v>
      </c>
    </row>
    <row r="5" spans="1:21">
      <c r="A5" s="43" t="s">
        <v>49</v>
      </c>
      <c r="B5" s="25">
        <v>193.384696308673</v>
      </c>
      <c r="C5" s="25">
        <v>193.384696308673</v>
      </c>
      <c r="D5" s="25">
        <v>193.384696308673</v>
      </c>
      <c r="E5" s="25">
        <v>157.12506575079701</v>
      </c>
      <c r="F5" s="25">
        <v>157.12506575079701</v>
      </c>
      <c r="G5" s="25">
        <v>157.12506575079701</v>
      </c>
      <c r="H5" s="25">
        <v>96.6923481543365</v>
      </c>
      <c r="I5" s="25">
        <v>120.865435192921</v>
      </c>
      <c r="J5" s="25">
        <v>108.778891673629</v>
      </c>
      <c r="K5" s="25">
        <v>60.4327175964603</v>
      </c>
      <c r="L5" s="25">
        <v>60.4327175964603</v>
      </c>
      <c r="M5" s="25">
        <v>60.4327175964603</v>
      </c>
      <c r="N5" s="25">
        <v>96.6923481543365</v>
      </c>
      <c r="O5" s="25">
        <v>145.038522231505</v>
      </c>
      <c r="P5" s="25">
        <v>205.47123982796501</v>
      </c>
      <c r="Q5" s="25">
        <v>205.47123982796501</v>
      </c>
      <c r="R5" s="25">
        <v>205.47123982796501</v>
      </c>
      <c r="S5" s="25">
        <v>217.55778334725699</v>
      </c>
      <c r="T5" s="25">
        <v>217.55778334725699</v>
      </c>
      <c r="U5" s="25">
        <v>217.55778334725699</v>
      </c>
    </row>
    <row r="6" spans="1:21">
      <c r="A6" s="43" t="s">
        <v>50</v>
      </c>
      <c r="B6" s="25">
        <v>193.384696308673</v>
      </c>
      <c r="C6" s="25">
        <v>193.384696308673</v>
      </c>
      <c r="D6" s="25">
        <v>193.384696308673</v>
      </c>
      <c r="E6" s="25">
        <v>157.12506575079701</v>
      </c>
      <c r="F6" s="25">
        <v>157.12506575079701</v>
      </c>
      <c r="G6" s="25">
        <v>157.12506575079701</v>
      </c>
      <c r="H6" s="25">
        <v>96.6923481543365</v>
      </c>
      <c r="I6" s="25">
        <v>120.865435192921</v>
      </c>
      <c r="J6" s="25">
        <v>108.778891673629</v>
      </c>
      <c r="K6" s="25">
        <v>60.4327175964603</v>
      </c>
      <c r="L6" s="25">
        <v>60.4327175964603</v>
      </c>
      <c r="M6" s="25">
        <v>60.4327175964603</v>
      </c>
      <c r="N6" s="25">
        <v>96.6923481543365</v>
      </c>
      <c r="O6" s="25">
        <v>145.038522231505</v>
      </c>
      <c r="P6" s="25">
        <v>205.47123982796501</v>
      </c>
      <c r="Q6" s="25">
        <v>205.47123982796501</v>
      </c>
      <c r="R6" s="25">
        <v>205.47123982796501</v>
      </c>
      <c r="S6" s="25">
        <v>217.55778334725699</v>
      </c>
      <c r="T6" s="25">
        <v>217.55778334725699</v>
      </c>
      <c r="U6" s="25">
        <v>217.55778334725699</v>
      </c>
    </row>
    <row r="7" spans="1:21">
      <c r="A7" s="43" t="s">
        <v>51</v>
      </c>
      <c r="B7" s="25">
        <v>193.384696308673</v>
      </c>
      <c r="C7" s="25">
        <v>193.384696308673</v>
      </c>
      <c r="D7" s="25">
        <v>193.384696308673</v>
      </c>
      <c r="E7" s="25">
        <v>157.12506575079701</v>
      </c>
      <c r="F7" s="25">
        <v>157.12506575079701</v>
      </c>
      <c r="G7" s="25">
        <v>157.12506575079701</v>
      </c>
      <c r="H7" s="25">
        <v>96.6923481543365</v>
      </c>
      <c r="I7" s="25">
        <v>120.865435192921</v>
      </c>
      <c r="J7" s="25">
        <v>108.778891673629</v>
      </c>
      <c r="K7" s="25">
        <v>60.4327175964603</v>
      </c>
      <c r="L7" s="25">
        <v>60.4327175964603</v>
      </c>
      <c r="M7" s="25">
        <v>60.4327175964603</v>
      </c>
      <c r="N7" s="25">
        <v>96.6923481543365</v>
      </c>
      <c r="O7" s="25">
        <v>145.038522231505</v>
      </c>
      <c r="P7" s="25">
        <v>205.47123982796501</v>
      </c>
      <c r="Q7" s="25">
        <v>205.47123982796501</v>
      </c>
      <c r="R7" s="25">
        <v>205.47123982796501</v>
      </c>
      <c r="S7" s="25">
        <v>217.55778334725699</v>
      </c>
      <c r="T7" s="25">
        <v>217.55778334725699</v>
      </c>
      <c r="U7" s="25">
        <v>217.55778334725699</v>
      </c>
    </row>
    <row r="8" spans="1:21">
      <c r="A8" s="43" t="s">
        <v>52</v>
      </c>
      <c r="B8" s="25">
        <v>193.384696308673</v>
      </c>
      <c r="C8" s="25">
        <v>193.384696308673</v>
      </c>
      <c r="D8" s="25">
        <v>193.384696308673</v>
      </c>
      <c r="E8" s="25">
        <v>157.12506575079701</v>
      </c>
      <c r="F8" s="25">
        <v>157.12506575079701</v>
      </c>
      <c r="G8" s="25">
        <v>157.12506575079701</v>
      </c>
      <c r="H8" s="25">
        <v>96.6923481543365</v>
      </c>
      <c r="I8" s="25">
        <v>120.865435192921</v>
      </c>
      <c r="J8" s="25">
        <v>108.778891673629</v>
      </c>
      <c r="K8" s="25">
        <v>60.4327175964603</v>
      </c>
      <c r="L8" s="25">
        <v>60.4327175964603</v>
      </c>
      <c r="M8" s="25">
        <v>60.4327175964603</v>
      </c>
      <c r="N8" s="25">
        <v>96.6923481543365</v>
      </c>
      <c r="O8" s="25">
        <v>145.038522231505</v>
      </c>
      <c r="P8" s="25">
        <v>205.47123982796501</v>
      </c>
      <c r="Q8" s="25">
        <v>205.47123982796501</v>
      </c>
      <c r="R8" s="25">
        <v>205.47123982796501</v>
      </c>
      <c r="S8" s="25">
        <v>217.55778334725699</v>
      </c>
      <c r="T8" s="25">
        <v>217.55778334725699</v>
      </c>
      <c r="U8" s="25">
        <v>217.55778334725699</v>
      </c>
    </row>
    <row r="9" spans="1:21">
      <c r="A9" s="43" t="s">
        <v>53</v>
      </c>
      <c r="B9" s="25">
        <v>193.384696308673</v>
      </c>
      <c r="C9" s="25">
        <v>193.384696308673</v>
      </c>
      <c r="D9" s="25">
        <v>193.384696308673</v>
      </c>
      <c r="E9" s="25">
        <v>157.12506575079701</v>
      </c>
      <c r="F9" s="25">
        <v>157.12506575079701</v>
      </c>
      <c r="G9" s="25">
        <v>157.12506575079701</v>
      </c>
      <c r="H9" s="25">
        <v>96.6923481543365</v>
      </c>
      <c r="I9" s="25">
        <v>120.865435192921</v>
      </c>
      <c r="J9" s="25">
        <v>108.778891673629</v>
      </c>
      <c r="K9" s="25">
        <v>60.4327175964603</v>
      </c>
      <c r="L9" s="25">
        <v>60.4327175964603</v>
      </c>
      <c r="M9" s="25">
        <v>60.4327175964603</v>
      </c>
      <c r="N9" s="25">
        <v>96.6923481543365</v>
      </c>
      <c r="O9" s="25">
        <v>145.038522231505</v>
      </c>
      <c r="P9" s="25">
        <v>205.47123982796501</v>
      </c>
      <c r="Q9" s="25">
        <v>205.47123982796501</v>
      </c>
      <c r="R9" s="25">
        <v>205.47123982796501</v>
      </c>
      <c r="S9" s="25">
        <v>217.55778334725699</v>
      </c>
      <c r="T9" s="25">
        <v>217.55778334725699</v>
      </c>
      <c r="U9" s="25">
        <v>217.55778334725699</v>
      </c>
    </row>
    <row r="10" spans="1:21">
      <c r="A10" s="43" t="s">
        <v>54</v>
      </c>
      <c r="B10" s="25">
        <v>193.384696308673</v>
      </c>
      <c r="C10" s="25">
        <v>193.384696308673</v>
      </c>
      <c r="D10" s="25">
        <v>193.384696308673</v>
      </c>
      <c r="E10" s="25">
        <v>157.12506575079701</v>
      </c>
      <c r="F10" s="25">
        <v>157.12506575079701</v>
      </c>
      <c r="G10" s="25">
        <v>157.12506575079701</v>
      </c>
      <c r="H10" s="25">
        <v>96.6923481543365</v>
      </c>
      <c r="I10" s="25">
        <v>120.865435192921</v>
      </c>
      <c r="J10" s="25">
        <v>108.778891673629</v>
      </c>
      <c r="K10" s="25">
        <v>60.4327175964603</v>
      </c>
      <c r="L10" s="25">
        <v>60.4327175964603</v>
      </c>
      <c r="M10" s="25">
        <v>60.4327175964603</v>
      </c>
      <c r="N10" s="25">
        <v>96.6923481543365</v>
      </c>
      <c r="O10" s="25">
        <v>145.038522231505</v>
      </c>
      <c r="P10" s="25">
        <v>205.47123982796501</v>
      </c>
      <c r="Q10" s="25">
        <v>205.47123982796501</v>
      </c>
      <c r="R10" s="25">
        <v>205.47123982796501</v>
      </c>
      <c r="S10" s="25">
        <v>217.55778334725699</v>
      </c>
      <c r="T10" s="25">
        <v>217.55778334725699</v>
      </c>
      <c r="U10" s="25">
        <v>217.55778334725699</v>
      </c>
    </row>
    <row r="11" spans="1:21">
      <c r="A11" s="43" t="s">
        <v>55</v>
      </c>
      <c r="B11" s="25">
        <v>193.384696308673</v>
      </c>
      <c r="C11" s="25">
        <v>193.384696308673</v>
      </c>
      <c r="D11" s="25">
        <v>193.384696308673</v>
      </c>
      <c r="E11" s="25">
        <v>157.12506575079701</v>
      </c>
      <c r="F11" s="25">
        <v>157.12506575079701</v>
      </c>
      <c r="G11" s="25">
        <v>157.12506575079701</v>
      </c>
      <c r="H11" s="25">
        <v>96.6923481543365</v>
      </c>
      <c r="I11" s="25">
        <v>120.865435192921</v>
      </c>
      <c r="J11" s="25">
        <v>108.778891673629</v>
      </c>
      <c r="K11" s="25">
        <v>60.4327175964603</v>
      </c>
      <c r="L11" s="25">
        <v>60.4327175964603</v>
      </c>
      <c r="M11" s="25">
        <v>60.4327175964603</v>
      </c>
      <c r="N11" s="25">
        <v>96.6923481543365</v>
      </c>
      <c r="O11" s="25">
        <v>145.038522231505</v>
      </c>
      <c r="P11" s="25">
        <v>205.47123982796501</v>
      </c>
      <c r="Q11" s="25">
        <v>205.47123982796501</v>
      </c>
      <c r="R11" s="25">
        <v>205.47123982796501</v>
      </c>
      <c r="S11" s="25">
        <v>217.55778334725699</v>
      </c>
      <c r="T11" s="25">
        <v>217.55778334725699</v>
      </c>
      <c r="U11" s="25">
        <v>217.55778334725699</v>
      </c>
    </row>
    <row r="12" spans="1:21">
      <c r="A12" s="43" t="s">
        <v>56</v>
      </c>
      <c r="B12" s="25">
        <v>193.384696308673</v>
      </c>
      <c r="C12" s="25">
        <v>193.384696308673</v>
      </c>
      <c r="D12" s="25">
        <v>193.384696308673</v>
      </c>
      <c r="E12" s="25">
        <v>157.12506575079701</v>
      </c>
      <c r="F12" s="25">
        <v>157.12506575079701</v>
      </c>
      <c r="G12" s="25">
        <v>157.12506575079701</v>
      </c>
      <c r="H12" s="25">
        <v>96.6923481543365</v>
      </c>
      <c r="I12" s="25">
        <v>120.865435192921</v>
      </c>
      <c r="J12" s="25">
        <v>108.778891673629</v>
      </c>
      <c r="K12" s="25">
        <v>60.4327175964603</v>
      </c>
      <c r="L12" s="25">
        <v>60.4327175964603</v>
      </c>
      <c r="M12" s="25">
        <v>60.4327175964603</v>
      </c>
      <c r="N12" s="25">
        <v>96.6923481543365</v>
      </c>
      <c r="O12" s="25">
        <v>145.038522231505</v>
      </c>
      <c r="P12" s="25">
        <v>205.47123982796501</v>
      </c>
      <c r="Q12" s="25">
        <v>205.47123982796501</v>
      </c>
      <c r="R12" s="25">
        <v>205.47123982796501</v>
      </c>
      <c r="S12" s="25">
        <v>217.55778334725699</v>
      </c>
      <c r="T12" s="25">
        <v>217.55778334725699</v>
      </c>
      <c r="U12" s="25">
        <v>217.55778334725699</v>
      </c>
    </row>
    <row r="13" spans="1:21">
      <c r="A13" s="43" t="s">
        <v>57</v>
      </c>
      <c r="B13" s="25">
        <v>193.384696308673</v>
      </c>
      <c r="C13" s="25">
        <v>193.384696308673</v>
      </c>
      <c r="D13" s="25">
        <v>193.384696308673</v>
      </c>
      <c r="E13" s="25">
        <v>157.12506575079701</v>
      </c>
      <c r="F13" s="25">
        <v>157.12506575079701</v>
      </c>
      <c r="G13" s="25">
        <v>157.12506575079701</v>
      </c>
      <c r="H13" s="25">
        <v>96.6923481543365</v>
      </c>
      <c r="I13" s="25">
        <v>120.865435192921</v>
      </c>
      <c r="J13" s="25">
        <v>108.778891673629</v>
      </c>
      <c r="K13" s="25">
        <v>60.4327175964603</v>
      </c>
      <c r="L13" s="25">
        <v>60.4327175964603</v>
      </c>
      <c r="M13" s="25">
        <v>60.4327175964603</v>
      </c>
      <c r="N13" s="25">
        <v>96.6923481543365</v>
      </c>
      <c r="O13" s="25">
        <v>145.038522231505</v>
      </c>
      <c r="P13" s="25">
        <v>205.47123982796501</v>
      </c>
      <c r="Q13" s="25">
        <v>205.47123982796501</v>
      </c>
      <c r="R13" s="25">
        <v>205.47123982796501</v>
      </c>
      <c r="S13" s="25">
        <v>217.55778334725699</v>
      </c>
      <c r="T13" s="25">
        <v>217.55778334725699</v>
      </c>
      <c r="U13" s="25">
        <v>217.55778334725699</v>
      </c>
    </row>
    <row r="14" spans="1:21">
      <c r="A14" s="43" t="s">
        <v>58</v>
      </c>
      <c r="B14" s="25">
        <v>193.384696308673</v>
      </c>
      <c r="C14" s="25">
        <v>193.384696308673</v>
      </c>
      <c r="D14" s="25">
        <v>193.384696308673</v>
      </c>
      <c r="E14" s="25">
        <v>157.12506575079701</v>
      </c>
      <c r="F14" s="25">
        <v>157.12506575079701</v>
      </c>
      <c r="G14" s="25">
        <v>157.12506575079701</v>
      </c>
      <c r="H14" s="25">
        <v>96.6923481543365</v>
      </c>
      <c r="I14" s="25">
        <v>120.865435192921</v>
      </c>
      <c r="J14" s="25">
        <v>108.778891673629</v>
      </c>
      <c r="K14" s="25">
        <v>60.4327175964603</v>
      </c>
      <c r="L14" s="25">
        <v>60.4327175964603</v>
      </c>
      <c r="M14" s="25">
        <v>60.4327175964603</v>
      </c>
      <c r="N14" s="25">
        <v>96.6923481543365</v>
      </c>
      <c r="O14" s="25">
        <v>145.038522231505</v>
      </c>
      <c r="P14" s="25">
        <v>205.47123982796501</v>
      </c>
      <c r="Q14" s="25">
        <v>205.47123982796501</v>
      </c>
      <c r="R14" s="25">
        <v>205.47123982796501</v>
      </c>
      <c r="S14" s="25">
        <v>217.55778334725699</v>
      </c>
      <c r="T14" s="25">
        <v>217.55778334725699</v>
      </c>
      <c r="U14" s="25">
        <v>217.55778334725699</v>
      </c>
    </row>
    <row r="15" spans="1:21">
      <c r="A15" s="43" t="s">
        <v>59</v>
      </c>
      <c r="B15" s="25">
        <v>193.384696308673</v>
      </c>
      <c r="C15" s="25">
        <v>193.384696308673</v>
      </c>
      <c r="D15" s="25">
        <v>193.384696308673</v>
      </c>
      <c r="E15" s="25">
        <v>157.12506575079701</v>
      </c>
      <c r="F15" s="25">
        <v>157.12506575079701</v>
      </c>
      <c r="G15" s="25">
        <v>157.12506575079701</v>
      </c>
      <c r="H15" s="25">
        <v>96.6923481543365</v>
      </c>
      <c r="I15" s="25">
        <v>120.865435192921</v>
      </c>
      <c r="J15" s="25">
        <v>108.778891673629</v>
      </c>
      <c r="K15" s="25">
        <v>60.4327175964603</v>
      </c>
      <c r="L15" s="25">
        <v>60.4327175964603</v>
      </c>
      <c r="M15" s="25">
        <v>60.4327175964603</v>
      </c>
      <c r="N15" s="25">
        <v>96.6923481543365</v>
      </c>
      <c r="O15" s="25">
        <v>145.038522231505</v>
      </c>
      <c r="P15" s="25">
        <v>205.47123982796501</v>
      </c>
      <c r="Q15" s="25">
        <v>205.47123982796501</v>
      </c>
      <c r="R15" s="25">
        <v>205.47123982796501</v>
      </c>
      <c r="S15" s="25">
        <v>217.55778334725699</v>
      </c>
      <c r="T15" s="25">
        <v>217.55778334725699</v>
      </c>
      <c r="U15" s="25">
        <v>217.55778334725699</v>
      </c>
    </row>
    <row r="16" spans="1:21">
      <c r="A16" s="43" t="s">
        <v>60</v>
      </c>
      <c r="B16" s="25">
        <v>193.384696308673</v>
      </c>
      <c r="C16" s="25">
        <v>193.384696308673</v>
      </c>
      <c r="D16" s="25">
        <v>193.384696308673</v>
      </c>
      <c r="E16" s="25">
        <v>157.12506575079701</v>
      </c>
      <c r="F16" s="25">
        <v>157.12506575079701</v>
      </c>
      <c r="G16" s="25">
        <v>157.12506575079701</v>
      </c>
      <c r="H16" s="25">
        <v>96.6923481543365</v>
      </c>
      <c r="I16" s="25">
        <v>120.865435192921</v>
      </c>
      <c r="J16" s="25">
        <v>108.778891673629</v>
      </c>
      <c r="K16" s="25">
        <v>60.4327175964603</v>
      </c>
      <c r="L16" s="25">
        <v>60.4327175964603</v>
      </c>
      <c r="M16" s="25">
        <v>60.4327175964603</v>
      </c>
      <c r="N16" s="25">
        <v>96.6923481543365</v>
      </c>
      <c r="O16" s="25">
        <v>145.038522231505</v>
      </c>
      <c r="P16" s="25">
        <v>205.47123982796501</v>
      </c>
      <c r="Q16" s="25">
        <v>205.47123982796501</v>
      </c>
      <c r="R16" s="25">
        <v>205.47123982796501</v>
      </c>
      <c r="S16" s="25">
        <v>217.55778334725699</v>
      </c>
      <c r="T16" s="25">
        <v>217.55778334725699</v>
      </c>
      <c r="U16" s="25">
        <v>217.55778334725699</v>
      </c>
    </row>
    <row r="17" spans="1:21">
      <c r="A17" s="43" t="s">
        <v>61</v>
      </c>
      <c r="B17" s="25">
        <v>193.384696308673</v>
      </c>
      <c r="C17" s="25">
        <v>193.384696308673</v>
      </c>
      <c r="D17" s="25">
        <v>193.384696308673</v>
      </c>
      <c r="E17" s="25">
        <v>157.12506575079701</v>
      </c>
      <c r="F17" s="25">
        <v>157.12506575079701</v>
      </c>
      <c r="G17" s="25">
        <v>157.12506575079701</v>
      </c>
      <c r="H17" s="25">
        <v>96.6923481543365</v>
      </c>
      <c r="I17" s="25">
        <v>120.865435192921</v>
      </c>
      <c r="J17" s="25">
        <v>108.778891673629</v>
      </c>
      <c r="K17" s="25">
        <v>60.4327175964603</v>
      </c>
      <c r="L17" s="25">
        <v>60.4327175964603</v>
      </c>
      <c r="M17" s="25">
        <v>60.4327175964603</v>
      </c>
      <c r="N17" s="25">
        <v>96.6923481543365</v>
      </c>
      <c r="O17" s="25">
        <v>145.038522231505</v>
      </c>
      <c r="P17" s="25">
        <v>205.47123982796501</v>
      </c>
      <c r="Q17" s="25">
        <v>205.47123982796501</v>
      </c>
      <c r="R17" s="25">
        <v>205.47123982796501</v>
      </c>
      <c r="S17" s="25">
        <v>217.55778334725699</v>
      </c>
      <c r="T17" s="25">
        <v>217.55778334725699</v>
      </c>
      <c r="U17" s="25">
        <v>217.55778334725699</v>
      </c>
    </row>
    <row r="18" spans="1:21">
      <c r="A18" s="43" t="s">
        <v>62</v>
      </c>
      <c r="B18" s="25">
        <v>193.384696308673</v>
      </c>
      <c r="C18" s="25">
        <v>193.384696308673</v>
      </c>
      <c r="D18" s="25">
        <v>193.384696308673</v>
      </c>
      <c r="E18" s="25">
        <v>157.12506575079701</v>
      </c>
      <c r="F18" s="25">
        <v>157.12506575079701</v>
      </c>
      <c r="G18" s="25">
        <v>157.12506575079701</v>
      </c>
      <c r="H18" s="25">
        <v>96.6923481543365</v>
      </c>
      <c r="I18" s="25">
        <v>120.865435192921</v>
      </c>
      <c r="J18" s="25">
        <v>108.778891673629</v>
      </c>
      <c r="K18" s="25">
        <v>60.4327175964603</v>
      </c>
      <c r="L18" s="25">
        <v>60.4327175964603</v>
      </c>
      <c r="M18" s="25">
        <v>60.4327175964603</v>
      </c>
      <c r="N18" s="25">
        <v>96.6923481543365</v>
      </c>
      <c r="O18" s="25">
        <v>145.038522231505</v>
      </c>
      <c r="P18" s="25">
        <v>205.47123982796501</v>
      </c>
      <c r="Q18" s="25">
        <v>205.47123982796501</v>
      </c>
      <c r="R18" s="25">
        <v>205.47123982796501</v>
      </c>
      <c r="S18" s="25">
        <v>217.55778334725699</v>
      </c>
      <c r="T18" s="25">
        <v>217.55778334725699</v>
      </c>
      <c r="U18" s="25">
        <v>217.55778334725699</v>
      </c>
    </row>
    <row r="19" spans="1:21">
      <c r="A19" s="43" t="s">
        <v>63</v>
      </c>
      <c r="B19" s="25">
        <v>193.384696308673</v>
      </c>
      <c r="C19" s="25">
        <v>193.384696308673</v>
      </c>
      <c r="D19" s="25">
        <v>193.384696308673</v>
      </c>
      <c r="E19" s="25">
        <v>157.12506575079701</v>
      </c>
      <c r="F19" s="25">
        <v>157.12506575079701</v>
      </c>
      <c r="G19" s="25">
        <v>157.12506575079701</v>
      </c>
      <c r="H19" s="25">
        <v>96.6923481543365</v>
      </c>
      <c r="I19" s="25">
        <v>120.865435192921</v>
      </c>
      <c r="J19" s="25">
        <v>108.778891673629</v>
      </c>
      <c r="K19" s="25">
        <v>60.4327175964603</v>
      </c>
      <c r="L19" s="25">
        <v>60.4327175964603</v>
      </c>
      <c r="M19" s="25">
        <v>60.4327175964603</v>
      </c>
      <c r="N19" s="25">
        <v>96.6923481543365</v>
      </c>
      <c r="O19" s="25">
        <v>145.038522231505</v>
      </c>
      <c r="P19" s="25">
        <v>205.47123982796501</v>
      </c>
      <c r="Q19" s="25">
        <v>205.47123982796501</v>
      </c>
      <c r="R19" s="25">
        <v>205.47123982796501</v>
      </c>
      <c r="S19" s="25">
        <v>217.55778334725699</v>
      </c>
      <c r="T19" s="25">
        <v>217.55778334725699</v>
      </c>
      <c r="U19" s="25">
        <v>217.55778334725699</v>
      </c>
    </row>
    <row r="20" spans="1:21">
      <c r="A20" s="43" t="s">
        <v>64</v>
      </c>
      <c r="B20" s="25">
        <v>193.384696308673</v>
      </c>
      <c r="C20" s="25">
        <v>193.384696308673</v>
      </c>
      <c r="D20" s="25">
        <v>193.384696308673</v>
      </c>
      <c r="E20" s="25">
        <v>157.12506575079701</v>
      </c>
      <c r="F20" s="25">
        <v>157.12506575079701</v>
      </c>
      <c r="G20" s="25">
        <v>157.12506575079701</v>
      </c>
      <c r="H20" s="25">
        <v>96.6923481543365</v>
      </c>
      <c r="I20" s="25">
        <v>120.865435192921</v>
      </c>
      <c r="J20" s="25">
        <v>108.778891673629</v>
      </c>
      <c r="K20" s="25">
        <v>60.4327175964603</v>
      </c>
      <c r="L20" s="25">
        <v>60.4327175964603</v>
      </c>
      <c r="M20" s="25">
        <v>60.4327175964603</v>
      </c>
      <c r="N20" s="25">
        <v>96.6923481543365</v>
      </c>
      <c r="O20" s="25">
        <v>145.038522231505</v>
      </c>
      <c r="P20" s="25">
        <v>205.47123982796501</v>
      </c>
      <c r="Q20" s="25">
        <v>205.47123982796501</v>
      </c>
      <c r="R20" s="25">
        <v>205.47123982796501</v>
      </c>
      <c r="S20" s="25">
        <v>217.55778334725699</v>
      </c>
      <c r="T20" s="25">
        <v>217.55778334725699</v>
      </c>
      <c r="U20" s="25">
        <v>217.55778334725699</v>
      </c>
    </row>
    <row r="21" spans="1:21">
      <c r="A21" s="43" t="s">
        <v>65</v>
      </c>
      <c r="B21" s="25">
        <v>193.384696308673</v>
      </c>
      <c r="C21" s="25">
        <v>193.384696308673</v>
      </c>
      <c r="D21" s="25">
        <v>193.384696308673</v>
      </c>
      <c r="E21" s="25">
        <v>157.12506575079701</v>
      </c>
      <c r="F21" s="25">
        <v>157.12506575079701</v>
      </c>
      <c r="G21" s="25">
        <v>157.12506575079701</v>
      </c>
      <c r="H21" s="25">
        <v>96.6923481543365</v>
      </c>
      <c r="I21" s="25">
        <v>120.865435192921</v>
      </c>
      <c r="J21" s="25">
        <v>108.778891673629</v>
      </c>
      <c r="K21" s="25">
        <v>60.4327175964603</v>
      </c>
      <c r="L21" s="25">
        <v>60.4327175964603</v>
      </c>
      <c r="M21" s="25">
        <v>60.4327175964603</v>
      </c>
      <c r="N21" s="25">
        <v>96.6923481543365</v>
      </c>
      <c r="O21" s="25">
        <v>145.038522231505</v>
      </c>
      <c r="P21" s="25">
        <v>205.47123982796501</v>
      </c>
      <c r="Q21" s="25">
        <v>205.47123982796501</v>
      </c>
      <c r="R21" s="25">
        <v>205.47123982796501</v>
      </c>
      <c r="S21" s="25">
        <v>217.55778334725699</v>
      </c>
      <c r="T21" s="25">
        <v>217.55778334725699</v>
      </c>
      <c r="U21" s="25">
        <v>217.55778334725699</v>
      </c>
    </row>
    <row r="22" spans="1:21">
      <c r="A22" s="43" t="s">
        <v>20</v>
      </c>
      <c r="B22" s="25">
        <v>193.384696308673</v>
      </c>
      <c r="C22" s="25">
        <v>193.384696308673</v>
      </c>
      <c r="D22" s="25">
        <v>193.384696308673</v>
      </c>
      <c r="E22" s="25">
        <v>157.12506575079701</v>
      </c>
      <c r="F22" s="25">
        <v>157.12506575079701</v>
      </c>
      <c r="G22" s="25">
        <v>157.12506575079701</v>
      </c>
      <c r="H22" s="25">
        <v>96.6923481543365</v>
      </c>
      <c r="I22" s="25">
        <v>120.865435192921</v>
      </c>
      <c r="J22" s="25">
        <v>108.778891673629</v>
      </c>
      <c r="K22" s="25">
        <v>60.4327175964603</v>
      </c>
      <c r="L22" s="25">
        <v>60.4327175964603</v>
      </c>
      <c r="M22" s="25">
        <v>60.4327175964603</v>
      </c>
      <c r="N22" s="25">
        <v>96.6923481543365</v>
      </c>
      <c r="O22" s="25">
        <v>145.038522231505</v>
      </c>
      <c r="P22" s="25">
        <v>205.47123982796501</v>
      </c>
      <c r="Q22" s="25">
        <v>205.47123982796501</v>
      </c>
      <c r="R22" s="25">
        <v>205.47123982796501</v>
      </c>
      <c r="S22" s="25">
        <v>217.55778334725699</v>
      </c>
      <c r="T22" s="25">
        <v>217.55778334725699</v>
      </c>
      <c r="U22" s="25">
        <v>217.55778334725699</v>
      </c>
    </row>
    <row r="23" spans="1:21">
      <c r="A23" s="43" t="s">
        <v>21</v>
      </c>
      <c r="B23" s="25">
        <v>193.384696308673</v>
      </c>
      <c r="C23" s="25">
        <v>193.384696308673</v>
      </c>
      <c r="D23" s="25">
        <v>193.384696308673</v>
      </c>
      <c r="E23" s="25">
        <v>157.12506575079701</v>
      </c>
      <c r="F23" s="25">
        <v>157.12506575079701</v>
      </c>
      <c r="G23" s="25">
        <v>157.12506575079701</v>
      </c>
      <c r="H23" s="25">
        <v>96.6923481543365</v>
      </c>
      <c r="I23" s="25">
        <v>120.865435192921</v>
      </c>
      <c r="J23" s="25">
        <v>108.778891673629</v>
      </c>
      <c r="K23" s="25">
        <v>60.4327175964603</v>
      </c>
      <c r="L23" s="25">
        <v>60.4327175964603</v>
      </c>
      <c r="M23" s="25">
        <v>60.4327175964603</v>
      </c>
      <c r="N23" s="25">
        <v>96.6923481543365</v>
      </c>
      <c r="O23" s="25">
        <v>145.038522231505</v>
      </c>
      <c r="P23" s="25">
        <v>205.47123982796501</v>
      </c>
      <c r="Q23" s="25">
        <v>205.47123982796501</v>
      </c>
      <c r="R23" s="25">
        <v>205.47123982796501</v>
      </c>
      <c r="S23" s="25">
        <v>217.55778334725699</v>
      </c>
      <c r="T23" s="25">
        <v>217.55778334725699</v>
      </c>
      <c r="U23" s="25">
        <v>217.55778334725699</v>
      </c>
    </row>
    <row r="24" spans="1:21">
      <c r="A24" s="43" t="s">
        <v>22</v>
      </c>
      <c r="B24" s="25">
        <v>193.384696308673</v>
      </c>
      <c r="C24" s="25">
        <v>193.384696308673</v>
      </c>
      <c r="D24" s="25">
        <v>193.384696308673</v>
      </c>
      <c r="E24" s="25">
        <v>157.12506575079701</v>
      </c>
      <c r="F24" s="25">
        <v>157.12506575079701</v>
      </c>
      <c r="G24" s="25">
        <v>157.12506575079701</v>
      </c>
      <c r="H24" s="25">
        <v>96.6923481543365</v>
      </c>
      <c r="I24" s="25">
        <v>120.865435192921</v>
      </c>
      <c r="J24" s="25">
        <v>108.778891673629</v>
      </c>
      <c r="K24" s="25">
        <v>60.4327175964603</v>
      </c>
      <c r="L24" s="25">
        <v>60.4327175964603</v>
      </c>
      <c r="M24" s="25">
        <v>60.4327175964603</v>
      </c>
      <c r="N24" s="25">
        <v>96.6923481543365</v>
      </c>
      <c r="O24" s="25">
        <v>145.038522231505</v>
      </c>
      <c r="P24" s="25">
        <v>205.47123982796501</v>
      </c>
      <c r="Q24" s="25">
        <v>205.47123982796501</v>
      </c>
      <c r="R24" s="25">
        <v>205.47123982796501</v>
      </c>
      <c r="S24" s="25">
        <v>217.55778334725699</v>
      </c>
      <c r="T24" s="25">
        <v>217.55778334725699</v>
      </c>
      <c r="U24" s="25">
        <v>217.55778334725699</v>
      </c>
    </row>
    <row r="25" spans="1:21">
      <c r="A25" s="43" t="s">
        <v>23</v>
      </c>
      <c r="B25" s="25">
        <v>193.384696308673</v>
      </c>
      <c r="C25" s="25">
        <v>193.384696308673</v>
      </c>
      <c r="D25" s="25">
        <v>193.384696308673</v>
      </c>
      <c r="E25" s="25">
        <v>157.12506575079701</v>
      </c>
      <c r="F25" s="25">
        <v>157.12506575079701</v>
      </c>
      <c r="G25" s="25">
        <v>157.12506575079701</v>
      </c>
      <c r="H25" s="25">
        <v>96.6923481543365</v>
      </c>
      <c r="I25" s="25">
        <v>120.865435192921</v>
      </c>
      <c r="J25" s="25">
        <v>108.778891673629</v>
      </c>
      <c r="K25" s="25">
        <v>60.4327175964603</v>
      </c>
      <c r="L25" s="25">
        <v>60.4327175964603</v>
      </c>
      <c r="M25" s="25">
        <v>60.4327175964603</v>
      </c>
      <c r="N25" s="25">
        <v>96.6923481543365</v>
      </c>
      <c r="O25" s="25">
        <v>145.038522231505</v>
      </c>
      <c r="P25" s="25">
        <v>205.47123982796501</v>
      </c>
      <c r="Q25" s="25">
        <v>205.47123982796501</v>
      </c>
      <c r="R25" s="25">
        <v>205.47123982796501</v>
      </c>
      <c r="S25" s="25">
        <v>217.55778334725699</v>
      </c>
      <c r="T25" s="25">
        <v>217.55778334725699</v>
      </c>
      <c r="U25" s="25">
        <v>217.55778334725699</v>
      </c>
    </row>
    <row r="26" spans="1:21">
      <c r="A26" s="43" t="s">
        <v>24</v>
      </c>
      <c r="B26" s="25">
        <v>193.384696308673</v>
      </c>
      <c r="C26" s="25">
        <v>193.384696308673</v>
      </c>
      <c r="D26" s="25">
        <v>193.384696308673</v>
      </c>
      <c r="E26" s="25">
        <v>157.12506575079701</v>
      </c>
      <c r="F26" s="25">
        <v>157.12506575079701</v>
      </c>
      <c r="G26" s="25">
        <v>157.12506575079701</v>
      </c>
      <c r="H26" s="25">
        <v>96.6923481543365</v>
      </c>
      <c r="I26" s="25">
        <v>120.865435192921</v>
      </c>
      <c r="J26" s="25">
        <v>108.778891673629</v>
      </c>
      <c r="K26" s="25">
        <v>60.4327175964603</v>
      </c>
      <c r="L26" s="25">
        <v>60.4327175964603</v>
      </c>
      <c r="M26" s="25">
        <v>60.4327175964603</v>
      </c>
      <c r="N26" s="25">
        <v>96.6923481543365</v>
      </c>
      <c r="O26" s="25">
        <v>145.038522231505</v>
      </c>
      <c r="P26" s="25">
        <v>205.47123982796501</v>
      </c>
      <c r="Q26" s="25">
        <v>205.47123982796501</v>
      </c>
      <c r="R26" s="25">
        <v>205.47123982796501</v>
      </c>
      <c r="S26" s="25">
        <v>217.55778334725699</v>
      </c>
      <c r="T26" s="25">
        <v>217.55778334725699</v>
      </c>
      <c r="U26" s="25">
        <v>217.55778334725699</v>
      </c>
    </row>
    <row r="27" spans="1:21">
      <c r="A27" s="43" t="s">
        <v>25</v>
      </c>
      <c r="B27" s="25">
        <v>193.384696308673</v>
      </c>
      <c r="C27" s="25">
        <v>193.384696308673</v>
      </c>
      <c r="D27" s="25">
        <v>193.384696308673</v>
      </c>
      <c r="E27" s="25">
        <v>157.12506575079701</v>
      </c>
      <c r="F27" s="25">
        <v>157.12506575079701</v>
      </c>
      <c r="G27" s="25">
        <v>157.12506575079701</v>
      </c>
      <c r="H27" s="25">
        <v>96.6923481543365</v>
      </c>
      <c r="I27" s="25">
        <v>120.865435192921</v>
      </c>
      <c r="J27" s="25">
        <v>108.778891673629</v>
      </c>
      <c r="K27" s="25">
        <v>60.4327175964603</v>
      </c>
      <c r="L27" s="25">
        <v>60.4327175964603</v>
      </c>
      <c r="M27" s="25">
        <v>60.4327175964603</v>
      </c>
      <c r="N27" s="25">
        <v>96.6923481543365</v>
      </c>
      <c r="O27" s="25">
        <v>145.038522231505</v>
      </c>
      <c r="P27" s="25">
        <v>205.47123982796501</v>
      </c>
      <c r="Q27" s="25">
        <v>205.47123982796501</v>
      </c>
      <c r="R27" s="25">
        <v>205.47123982796501</v>
      </c>
      <c r="S27" s="25">
        <v>217.55778334725699</v>
      </c>
      <c r="T27" s="25">
        <v>217.55778334725699</v>
      </c>
      <c r="U27" s="25">
        <v>217.55778334725699</v>
      </c>
    </row>
    <row r="28" spans="1:21">
      <c r="A28" s="43" t="s">
        <v>26</v>
      </c>
      <c r="B28" s="25">
        <v>193.384696308673</v>
      </c>
      <c r="C28" s="25">
        <v>193.384696308673</v>
      </c>
      <c r="D28" s="25">
        <v>193.384696308673</v>
      </c>
      <c r="E28" s="25">
        <v>157.12506575079701</v>
      </c>
      <c r="F28" s="25">
        <v>157.12506575079701</v>
      </c>
      <c r="G28" s="25">
        <v>157.12506575079701</v>
      </c>
      <c r="H28" s="25">
        <v>96.6923481543365</v>
      </c>
      <c r="I28" s="25">
        <v>120.865435192921</v>
      </c>
      <c r="J28" s="25">
        <v>108.778891673629</v>
      </c>
      <c r="K28" s="25">
        <v>60.4327175964603</v>
      </c>
      <c r="L28" s="25">
        <v>60.4327175964603</v>
      </c>
      <c r="M28" s="25">
        <v>60.4327175964603</v>
      </c>
      <c r="N28" s="25">
        <v>96.6923481543365</v>
      </c>
      <c r="O28" s="25">
        <v>145.038522231505</v>
      </c>
      <c r="P28" s="25">
        <v>205.47123982796501</v>
      </c>
      <c r="Q28" s="25">
        <v>205.47123982796501</v>
      </c>
      <c r="R28" s="25">
        <v>205.47123982796501</v>
      </c>
      <c r="S28" s="25">
        <v>217.55778334725699</v>
      </c>
      <c r="T28" s="25">
        <v>217.55778334725699</v>
      </c>
      <c r="U28" s="25">
        <v>217.55778334725699</v>
      </c>
    </row>
    <row r="29" spans="1:21">
      <c r="A29" s="43" t="s">
        <v>27</v>
      </c>
      <c r="B29" s="25">
        <v>193.384696308673</v>
      </c>
      <c r="C29" s="25">
        <v>193.384696308673</v>
      </c>
      <c r="D29" s="25">
        <v>193.384696308673</v>
      </c>
      <c r="E29" s="25">
        <v>157.12506575079701</v>
      </c>
      <c r="F29" s="25">
        <v>157.12506575079701</v>
      </c>
      <c r="G29" s="25">
        <v>157.12506575079701</v>
      </c>
      <c r="H29" s="25">
        <v>96.6923481543365</v>
      </c>
      <c r="I29" s="25">
        <v>120.865435192921</v>
      </c>
      <c r="J29" s="25">
        <v>108.778891673629</v>
      </c>
      <c r="K29" s="25">
        <v>60.4327175964603</v>
      </c>
      <c r="L29" s="25">
        <v>60.4327175964603</v>
      </c>
      <c r="M29" s="25">
        <v>60.4327175964603</v>
      </c>
      <c r="N29" s="25">
        <v>96.6923481543365</v>
      </c>
      <c r="O29" s="25">
        <v>145.038522231505</v>
      </c>
      <c r="P29" s="25">
        <v>205.47123982796501</v>
      </c>
      <c r="Q29" s="25">
        <v>205.47123982796501</v>
      </c>
      <c r="R29" s="25">
        <v>205.47123982796501</v>
      </c>
      <c r="S29" s="25">
        <v>217.55778334725699</v>
      </c>
      <c r="T29" s="25">
        <v>217.55778334725699</v>
      </c>
      <c r="U29" s="25">
        <v>217.55778334725699</v>
      </c>
    </row>
    <row r="30" spans="1:21">
      <c r="A30" s="43" t="s">
        <v>28</v>
      </c>
      <c r="B30" s="25">
        <v>193.384696308673</v>
      </c>
      <c r="C30" s="25">
        <v>193.384696308673</v>
      </c>
      <c r="D30" s="25">
        <v>193.384696308673</v>
      </c>
      <c r="E30" s="25">
        <v>157.12506575079701</v>
      </c>
      <c r="F30" s="25">
        <v>157.12506575079701</v>
      </c>
      <c r="G30" s="25">
        <v>157.12506575079701</v>
      </c>
      <c r="H30" s="25">
        <v>96.6923481543365</v>
      </c>
      <c r="I30" s="25">
        <v>120.865435192921</v>
      </c>
      <c r="J30" s="25">
        <v>108.778891673629</v>
      </c>
      <c r="K30" s="25">
        <v>60.4327175964603</v>
      </c>
      <c r="L30" s="25">
        <v>60.4327175964603</v>
      </c>
      <c r="M30" s="25">
        <v>60.4327175964603</v>
      </c>
      <c r="N30" s="25">
        <v>96.6923481543365</v>
      </c>
      <c r="O30" s="25">
        <v>145.038522231505</v>
      </c>
      <c r="P30" s="25">
        <v>205.47123982796501</v>
      </c>
      <c r="Q30" s="25">
        <v>205.47123982796501</v>
      </c>
      <c r="R30" s="25">
        <v>205.47123982796501</v>
      </c>
      <c r="S30" s="25">
        <v>217.55778334725699</v>
      </c>
      <c r="T30" s="25">
        <v>217.55778334725699</v>
      </c>
      <c r="U30" s="25">
        <v>217.55778334725699</v>
      </c>
    </row>
    <row r="31" spans="1:21">
      <c r="A31" s="43" t="s">
        <v>29</v>
      </c>
      <c r="B31" s="25">
        <v>193.384696308673</v>
      </c>
      <c r="C31" s="25">
        <v>193.384696308673</v>
      </c>
      <c r="D31" s="25">
        <v>193.384696308673</v>
      </c>
      <c r="E31" s="25">
        <v>157.12506575079701</v>
      </c>
      <c r="F31" s="25">
        <v>157.12506575079701</v>
      </c>
      <c r="G31" s="25">
        <v>157.12506575079701</v>
      </c>
      <c r="H31" s="25">
        <v>96.6923481543365</v>
      </c>
      <c r="I31" s="25">
        <v>120.865435192921</v>
      </c>
      <c r="J31" s="25">
        <v>108.778891673629</v>
      </c>
      <c r="K31" s="25">
        <v>60.4327175964603</v>
      </c>
      <c r="L31" s="25">
        <v>60.4327175964603</v>
      </c>
      <c r="M31" s="25">
        <v>60.4327175964603</v>
      </c>
      <c r="N31" s="25">
        <v>96.6923481543365</v>
      </c>
      <c r="O31" s="25">
        <v>145.038522231505</v>
      </c>
      <c r="P31" s="25">
        <v>205.47123982796501</v>
      </c>
      <c r="Q31" s="25">
        <v>205.47123982796501</v>
      </c>
      <c r="R31" s="25">
        <v>205.47123982796501</v>
      </c>
      <c r="S31" s="25">
        <v>217.55778334725699</v>
      </c>
      <c r="T31" s="25">
        <v>217.55778334725699</v>
      </c>
      <c r="U31" s="25">
        <v>217.55778334725699</v>
      </c>
    </row>
    <row r="32" spans="1:21">
      <c r="A32" s="43" t="s">
        <v>30</v>
      </c>
      <c r="B32" s="25">
        <v>193.384696308673</v>
      </c>
      <c r="C32" s="25">
        <v>193.384696308673</v>
      </c>
      <c r="D32" s="25">
        <v>193.384696308673</v>
      </c>
      <c r="E32" s="25">
        <v>157.12506575079701</v>
      </c>
      <c r="F32" s="25">
        <v>157.12506575079701</v>
      </c>
      <c r="G32" s="25">
        <v>157.12506575079701</v>
      </c>
      <c r="H32" s="25">
        <v>96.6923481543365</v>
      </c>
      <c r="I32" s="25">
        <v>120.865435192921</v>
      </c>
      <c r="J32" s="25">
        <v>108.778891673629</v>
      </c>
      <c r="K32" s="25">
        <v>60.4327175964603</v>
      </c>
      <c r="L32" s="25">
        <v>60.4327175964603</v>
      </c>
      <c r="M32" s="25">
        <v>60.4327175964603</v>
      </c>
      <c r="N32" s="25">
        <v>96.6923481543365</v>
      </c>
      <c r="O32" s="25">
        <v>145.038522231505</v>
      </c>
      <c r="P32" s="25">
        <v>205.47123982796501</v>
      </c>
      <c r="Q32" s="25">
        <v>205.47123982796501</v>
      </c>
      <c r="R32" s="25">
        <v>205.47123982796501</v>
      </c>
      <c r="S32" s="25">
        <v>217.55778334725699</v>
      </c>
      <c r="T32" s="25">
        <v>217.55778334725699</v>
      </c>
      <c r="U32" s="25">
        <v>217.55778334725699</v>
      </c>
    </row>
    <row r="33" spans="1:21">
      <c r="A33" s="43" t="s">
        <v>31</v>
      </c>
      <c r="B33" s="25">
        <v>193.384696308673</v>
      </c>
      <c r="C33" s="25">
        <v>193.384696308673</v>
      </c>
      <c r="D33" s="25">
        <v>193.384696308673</v>
      </c>
      <c r="E33" s="25">
        <v>157.12506575079701</v>
      </c>
      <c r="F33" s="25">
        <v>157.12506575079701</v>
      </c>
      <c r="G33" s="25">
        <v>157.12506575079701</v>
      </c>
      <c r="H33" s="25">
        <v>96.6923481543365</v>
      </c>
      <c r="I33" s="25">
        <v>120.865435192921</v>
      </c>
      <c r="J33" s="25">
        <v>108.778891673629</v>
      </c>
      <c r="K33" s="25">
        <v>60.4327175964603</v>
      </c>
      <c r="L33" s="25">
        <v>60.4327175964603</v>
      </c>
      <c r="M33" s="25">
        <v>60.4327175964603</v>
      </c>
      <c r="N33" s="25">
        <v>96.6923481543365</v>
      </c>
      <c r="O33" s="25">
        <v>145.038522231505</v>
      </c>
      <c r="P33" s="25">
        <v>205.47123982796501</v>
      </c>
      <c r="Q33" s="25">
        <v>205.47123982796501</v>
      </c>
      <c r="R33" s="25">
        <v>205.47123982796501</v>
      </c>
      <c r="S33" s="25">
        <v>217.55778334725699</v>
      </c>
      <c r="T33" s="25">
        <v>217.55778334725699</v>
      </c>
      <c r="U33" s="25">
        <v>217.55778334725699</v>
      </c>
    </row>
    <row r="34" spans="1:21">
      <c r="A34" s="43" t="s">
        <v>32</v>
      </c>
      <c r="B34" s="25">
        <v>193.384696308673</v>
      </c>
      <c r="C34" s="25">
        <v>193.384696308673</v>
      </c>
      <c r="D34" s="25">
        <v>193.384696308673</v>
      </c>
      <c r="E34" s="25">
        <v>157.12506575079701</v>
      </c>
      <c r="F34" s="25">
        <v>157.12506575079701</v>
      </c>
      <c r="G34" s="25">
        <v>157.12506575079701</v>
      </c>
      <c r="H34" s="25">
        <v>96.6923481543365</v>
      </c>
      <c r="I34" s="25">
        <v>120.865435192921</v>
      </c>
      <c r="J34" s="25">
        <v>108.778891673629</v>
      </c>
      <c r="K34" s="25">
        <v>60.4327175964603</v>
      </c>
      <c r="L34" s="25">
        <v>60.4327175964603</v>
      </c>
      <c r="M34" s="25">
        <v>60.4327175964603</v>
      </c>
      <c r="N34" s="25">
        <v>96.6923481543365</v>
      </c>
      <c r="O34" s="25">
        <v>145.038522231505</v>
      </c>
      <c r="P34" s="25">
        <v>205.47123982796501</v>
      </c>
      <c r="Q34" s="25">
        <v>205.47123982796501</v>
      </c>
      <c r="R34" s="25">
        <v>205.47123982796501</v>
      </c>
      <c r="S34" s="25">
        <v>217.55778334725699</v>
      </c>
      <c r="T34" s="25">
        <v>217.55778334725699</v>
      </c>
      <c r="U34" s="25">
        <v>217.55778334725699</v>
      </c>
    </row>
    <row r="35" spans="1:21">
      <c r="A35" s="43" t="s">
        <v>33</v>
      </c>
      <c r="B35" s="25">
        <v>193.384696308673</v>
      </c>
      <c r="C35" s="25">
        <v>193.384696308673</v>
      </c>
      <c r="D35" s="25">
        <v>193.384696308673</v>
      </c>
      <c r="E35" s="25">
        <v>157.12506575079701</v>
      </c>
      <c r="F35" s="25">
        <v>157.12506575079701</v>
      </c>
      <c r="G35" s="25">
        <v>157.12506575079701</v>
      </c>
      <c r="H35" s="25">
        <v>96.6923481543365</v>
      </c>
      <c r="I35" s="25">
        <v>120.865435192921</v>
      </c>
      <c r="J35" s="25">
        <v>108.778891673629</v>
      </c>
      <c r="K35" s="25">
        <v>60.4327175964603</v>
      </c>
      <c r="L35" s="25">
        <v>60.4327175964603</v>
      </c>
      <c r="M35" s="25">
        <v>60.4327175964603</v>
      </c>
      <c r="N35" s="25">
        <v>96.6923481543365</v>
      </c>
      <c r="O35" s="25">
        <v>145.038522231505</v>
      </c>
      <c r="P35" s="25">
        <v>205.47123982796501</v>
      </c>
      <c r="Q35" s="25">
        <v>205.47123982796501</v>
      </c>
      <c r="R35" s="25">
        <v>205.47123982796501</v>
      </c>
      <c r="S35" s="25">
        <v>217.55778334725699</v>
      </c>
      <c r="T35" s="25">
        <v>217.55778334725699</v>
      </c>
      <c r="U35" s="25">
        <v>217.55778334725699</v>
      </c>
    </row>
    <row r="36" spans="1:21">
      <c r="A36" s="43" t="s">
        <v>34</v>
      </c>
      <c r="B36" s="25">
        <v>193.384696308673</v>
      </c>
      <c r="C36" s="25">
        <v>193.384696308673</v>
      </c>
      <c r="D36" s="25">
        <v>193.384696308673</v>
      </c>
      <c r="E36" s="25">
        <v>157.12506575079701</v>
      </c>
      <c r="F36" s="25">
        <v>157.12506575079701</v>
      </c>
      <c r="G36" s="25">
        <v>157.12506575079701</v>
      </c>
      <c r="H36" s="25">
        <v>96.6923481543365</v>
      </c>
      <c r="I36" s="25">
        <v>120.865435192921</v>
      </c>
      <c r="J36" s="25">
        <v>108.778891673629</v>
      </c>
      <c r="K36" s="25">
        <v>60.4327175964603</v>
      </c>
      <c r="L36" s="25">
        <v>60.4327175964603</v>
      </c>
      <c r="M36" s="25">
        <v>60.4327175964603</v>
      </c>
      <c r="N36" s="25">
        <v>96.6923481543365</v>
      </c>
      <c r="O36" s="25">
        <v>145.038522231505</v>
      </c>
      <c r="P36" s="25">
        <v>205.47123982796501</v>
      </c>
      <c r="Q36" s="25">
        <v>205.47123982796501</v>
      </c>
      <c r="R36" s="25">
        <v>205.47123982796501</v>
      </c>
      <c r="S36" s="25">
        <v>217.55778334725699</v>
      </c>
      <c r="T36" s="25">
        <v>217.55778334725699</v>
      </c>
      <c r="U36" s="25">
        <v>217.55778334725699</v>
      </c>
    </row>
    <row r="37" spans="1:21">
      <c r="A37" s="43" t="s">
        <v>35</v>
      </c>
      <c r="B37" s="25">
        <v>193.384696308673</v>
      </c>
      <c r="C37" s="25">
        <v>193.384696308673</v>
      </c>
      <c r="D37" s="25">
        <v>193.384696308673</v>
      </c>
      <c r="E37" s="25">
        <v>157.12506575079701</v>
      </c>
      <c r="F37" s="25">
        <v>157.12506575079701</v>
      </c>
      <c r="G37" s="25">
        <v>157.12506575079701</v>
      </c>
      <c r="H37" s="25">
        <v>96.6923481543365</v>
      </c>
      <c r="I37" s="25">
        <v>120.865435192921</v>
      </c>
      <c r="J37" s="25">
        <v>108.778891673629</v>
      </c>
      <c r="K37" s="25">
        <v>60.4327175964603</v>
      </c>
      <c r="L37" s="25">
        <v>60.4327175964603</v>
      </c>
      <c r="M37" s="25">
        <v>60.4327175964603</v>
      </c>
      <c r="N37" s="25">
        <v>96.6923481543365</v>
      </c>
      <c r="O37" s="25">
        <v>145.038522231505</v>
      </c>
      <c r="P37" s="25">
        <v>205.47123982796501</v>
      </c>
      <c r="Q37" s="25">
        <v>205.47123982796501</v>
      </c>
      <c r="R37" s="25">
        <v>205.47123982796501</v>
      </c>
      <c r="S37" s="25">
        <v>217.55778334725699</v>
      </c>
      <c r="T37" s="25">
        <v>217.55778334725699</v>
      </c>
      <c r="U37" s="25">
        <v>217.55778334725699</v>
      </c>
    </row>
    <row r="38" spans="1:21">
      <c r="A38" s="43" t="s">
        <v>36</v>
      </c>
      <c r="B38" s="25">
        <v>193.384696308673</v>
      </c>
      <c r="C38" s="25">
        <v>193.384696308673</v>
      </c>
      <c r="D38" s="25">
        <v>193.384696308673</v>
      </c>
      <c r="E38" s="25">
        <v>157.12506575079701</v>
      </c>
      <c r="F38" s="25">
        <v>157.12506575079701</v>
      </c>
      <c r="G38" s="25">
        <v>157.12506575079701</v>
      </c>
      <c r="H38" s="25">
        <v>96.6923481543365</v>
      </c>
      <c r="I38" s="25">
        <v>120.865435192921</v>
      </c>
      <c r="J38" s="25">
        <v>108.778891673629</v>
      </c>
      <c r="K38" s="25">
        <v>60.4327175964603</v>
      </c>
      <c r="L38" s="25">
        <v>60.4327175964603</v>
      </c>
      <c r="M38" s="25">
        <v>60.4327175964603</v>
      </c>
      <c r="N38" s="25">
        <v>96.6923481543365</v>
      </c>
      <c r="O38" s="25">
        <v>145.038522231505</v>
      </c>
      <c r="P38" s="25">
        <v>205.47123982796501</v>
      </c>
      <c r="Q38" s="25">
        <v>205.47123982796501</v>
      </c>
      <c r="R38" s="25">
        <v>205.47123982796501</v>
      </c>
      <c r="S38" s="25">
        <v>217.55778334725699</v>
      </c>
      <c r="T38" s="25">
        <v>217.55778334725699</v>
      </c>
      <c r="U38" s="25">
        <v>217.55778334725699</v>
      </c>
    </row>
    <row r="39" spans="1:21">
      <c r="A39" s="43" t="s">
        <v>37</v>
      </c>
      <c r="B39" s="25">
        <v>193.384696308673</v>
      </c>
      <c r="C39" s="25">
        <v>193.384696308673</v>
      </c>
      <c r="D39" s="25">
        <v>193.384696308673</v>
      </c>
      <c r="E39" s="25">
        <v>157.12506575079701</v>
      </c>
      <c r="F39" s="25">
        <v>157.12506575079701</v>
      </c>
      <c r="G39" s="25">
        <v>157.12506575079701</v>
      </c>
      <c r="H39" s="25">
        <v>96.6923481543365</v>
      </c>
      <c r="I39" s="25">
        <v>120.865435192921</v>
      </c>
      <c r="J39" s="25">
        <v>108.778891673629</v>
      </c>
      <c r="K39" s="25">
        <v>60.4327175964603</v>
      </c>
      <c r="L39" s="25">
        <v>60.4327175964603</v>
      </c>
      <c r="M39" s="25">
        <v>60.4327175964603</v>
      </c>
      <c r="N39" s="25">
        <v>96.6923481543365</v>
      </c>
      <c r="O39" s="25">
        <v>145.038522231505</v>
      </c>
      <c r="P39" s="25">
        <v>205.47123982796501</v>
      </c>
      <c r="Q39" s="25">
        <v>205.47123982796501</v>
      </c>
      <c r="R39" s="25">
        <v>205.47123982796501</v>
      </c>
      <c r="S39" s="25">
        <v>217.55778334725699</v>
      </c>
      <c r="T39" s="25">
        <v>217.55778334725699</v>
      </c>
      <c r="U39" s="25">
        <v>217.55778334725699</v>
      </c>
    </row>
    <row r="40" spans="1:21">
      <c r="A40" s="43" t="s">
        <v>38</v>
      </c>
      <c r="B40" s="25">
        <v>193.384696308673</v>
      </c>
      <c r="C40" s="25">
        <v>193.384696308673</v>
      </c>
      <c r="D40" s="25">
        <v>193.384696308673</v>
      </c>
      <c r="E40" s="25">
        <v>157.12506575079701</v>
      </c>
      <c r="F40" s="25">
        <v>157.12506575079701</v>
      </c>
      <c r="G40" s="25">
        <v>157.12506575079701</v>
      </c>
      <c r="H40" s="25">
        <v>96.6923481543365</v>
      </c>
      <c r="I40" s="25">
        <v>120.865435192921</v>
      </c>
      <c r="J40" s="25">
        <v>108.778891673629</v>
      </c>
      <c r="K40" s="25">
        <v>60.4327175964603</v>
      </c>
      <c r="L40" s="25">
        <v>60.4327175964603</v>
      </c>
      <c r="M40" s="25">
        <v>60.4327175964603</v>
      </c>
      <c r="N40" s="25">
        <v>96.6923481543365</v>
      </c>
      <c r="O40" s="25">
        <v>145.038522231505</v>
      </c>
      <c r="P40" s="25">
        <v>205.47123982796501</v>
      </c>
      <c r="Q40" s="25">
        <v>205.47123982796501</v>
      </c>
      <c r="R40" s="25">
        <v>205.47123982796501</v>
      </c>
      <c r="S40" s="25">
        <v>217.55778334725699</v>
      </c>
      <c r="T40" s="25">
        <v>217.55778334725699</v>
      </c>
      <c r="U40" s="25">
        <v>217.55778334725699</v>
      </c>
    </row>
    <row r="41" spans="1:21">
      <c r="A41" s="43" t="s">
        <v>39</v>
      </c>
      <c r="B41" s="25">
        <v>193.384696308673</v>
      </c>
      <c r="C41" s="25">
        <v>193.384696308673</v>
      </c>
      <c r="D41" s="25">
        <v>193.384696308673</v>
      </c>
      <c r="E41" s="25">
        <v>157.12506575079701</v>
      </c>
      <c r="F41" s="25">
        <v>157.12506575079701</v>
      </c>
      <c r="G41" s="25">
        <v>157.12506575079701</v>
      </c>
      <c r="H41" s="25">
        <v>96.6923481543365</v>
      </c>
      <c r="I41" s="25">
        <v>120.865435192921</v>
      </c>
      <c r="J41" s="25">
        <v>108.778891673629</v>
      </c>
      <c r="K41" s="25">
        <v>60.4327175964603</v>
      </c>
      <c r="L41" s="25">
        <v>60.4327175964603</v>
      </c>
      <c r="M41" s="25">
        <v>60.4327175964603</v>
      </c>
      <c r="N41" s="25">
        <v>96.6923481543365</v>
      </c>
      <c r="O41" s="25">
        <v>145.038522231505</v>
      </c>
      <c r="P41" s="25">
        <v>205.47123982796501</v>
      </c>
      <c r="Q41" s="25">
        <v>205.47123982796501</v>
      </c>
      <c r="R41" s="25">
        <v>205.47123982796501</v>
      </c>
      <c r="S41" s="25">
        <v>217.55778334725699</v>
      </c>
      <c r="T41" s="25">
        <v>217.55778334725699</v>
      </c>
      <c r="U41" s="25">
        <v>217.55778334725699</v>
      </c>
    </row>
    <row r="42" spans="1:21">
      <c r="A42" s="43" t="s">
        <v>40</v>
      </c>
      <c r="B42" s="25">
        <v>193.384696308673</v>
      </c>
      <c r="C42" s="25">
        <v>193.384696308673</v>
      </c>
      <c r="D42" s="25">
        <v>193.384696308673</v>
      </c>
      <c r="E42" s="25">
        <v>157.12506575079701</v>
      </c>
      <c r="F42" s="25">
        <v>157.12506575079701</v>
      </c>
      <c r="G42" s="25">
        <v>157.12506575079701</v>
      </c>
      <c r="H42" s="25">
        <v>96.6923481543365</v>
      </c>
      <c r="I42" s="25">
        <v>120.865435192921</v>
      </c>
      <c r="J42" s="25">
        <v>108.778891673629</v>
      </c>
      <c r="K42" s="25">
        <v>60.4327175964603</v>
      </c>
      <c r="L42" s="25">
        <v>60.4327175964603</v>
      </c>
      <c r="M42" s="25">
        <v>60.4327175964603</v>
      </c>
      <c r="N42" s="25">
        <v>96.6923481543365</v>
      </c>
      <c r="O42" s="25">
        <v>145.038522231505</v>
      </c>
      <c r="P42" s="25">
        <v>205.47123982796501</v>
      </c>
      <c r="Q42" s="25">
        <v>205.47123982796501</v>
      </c>
      <c r="R42" s="25">
        <v>205.47123982796501</v>
      </c>
      <c r="S42" s="25">
        <v>217.55778334725699</v>
      </c>
      <c r="T42" s="25">
        <v>217.55778334725699</v>
      </c>
      <c r="U42" s="25">
        <v>217.55778334725699</v>
      </c>
    </row>
    <row r="43" spans="1:21">
      <c r="A43" s="43" t="s">
        <v>41</v>
      </c>
      <c r="B43" s="25">
        <v>193.384696308673</v>
      </c>
      <c r="C43" s="25">
        <v>193.384696308673</v>
      </c>
      <c r="D43" s="25">
        <v>193.384696308673</v>
      </c>
      <c r="E43" s="25">
        <v>157.12506575079701</v>
      </c>
      <c r="F43" s="25">
        <v>157.12506575079701</v>
      </c>
      <c r="G43" s="25">
        <v>157.12506575079701</v>
      </c>
      <c r="H43" s="25">
        <v>96.6923481543365</v>
      </c>
      <c r="I43" s="25">
        <v>120.865435192921</v>
      </c>
      <c r="J43" s="25">
        <v>108.778891673629</v>
      </c>
      <c r="K43" s="25">
        <v>60.4327175964603</v>
      </c>
      <c r="L43" s="25">
        <v>60.4327175964603</v>
      </c>
      <c r="M43" s="25">
        <v>60.4327175964603</v>
      </c>
      <c r="N43" s="25">
        <v>96.6923481543365</v>
      </c>
      <c r="O43" s="25">
        <v>145.038522231505</v>
      </c>
      <c r="P43" s="25">
        <v>205.47123982796501</v>
      </c>
      <c r="Q43" s="25">
        <v>205.47123982796501</v>
      </c>
      <c r="R43" s="25">
        <v>205.47123982796501</v>
      </c>
      <c r="S43" s="25">
        <v>217.55778334725699</v>
      </c>
      <c r="T43" s="25">
        <v>217.55778334725699</v>
      </c>
      <c r="U43" s="25">
        <v>217.55778334725699</v>
      </c>
    </row>
    <row r="44" spans="1:21">
      <c r="A44" s="43" t="s">
        <v>42</v>
      </c>
      <c r="B44" s="25">
        <v>193.384696308673</v>
      </c>
      <c r="C44" s="25">
        <v>193.384696308673</v>
      </c>
      <c r="D44" s="25">
        <v>193.384696308673</v>
      </c>
      <c r="E44" s="25">
        <v>157.12506575079701</v>
      </c>
      <c r="F44" s="25">
        <v>157.12506575079701</v>
      </c>
      <c r="G44" s="25">
        <v>157.12506575079701</v>
      </c>
      <c r="H44" s="25">
        <v>96.6923481543365</v>
      </c>
      <c r="I44" s="25">
        <v>120.865435192921</v>
      </c>
      <c r="J44" s="25">
        <v>108.778891673629</v>
      </c>
      <c r="K44" s="25">
        <v>60.4327175964603</v>
      </c>
      <c r="L44" s="25">
        <v>60.4327175964603</v>
      </c>
      <c r="M44" s="25">
        <v>60.4327175964603</v>
      </c>
      <c r="N44" s="25">
        <v>96.6923481543365</v>
      </c>
      <c r="O44" s="25">
        <v>145.038522231505</v>
      </c>
      <c r="P44" s="25">
        <v>205.47123982796501</v>
      </c>
      <c r="Q44" s="25">
        <v>205.47123982796501</v>
      </c>
      <c r="R44" s="25">
        <v>205.47123982796501</v>
      </c>
      <c r="S44" s="25">
        <v>217.55778334725699</v>
      </c>
      <c r="T44" s="25">
        <v>217.55778334725699</v>
      </c>
      <c r="U44" s="25">
        <v>217.55778334725699</v>
      </c>
    </row>
    <row r="45" spans="1:21">
      <c r="A45" s="43" t="s">
        <v>43</v>
      </c>
      <c r="B45" s="25">
        <v>193.384696308673</v>
      </c>
      <c r="C45" s="25">
        <v>193.384696308673</v>
      </c>
      <c r="D45" s="25">
        <v>193.384696308673</v>
      </c>
      <c r="E45" s="25">
        <v>157.12506575079701</v>
      </c>
      <c r="F45" s="25">
        <v>157.12506575079701</v>
      </c>
      <c r="G45" s="25">
        <v>157.12506575079701</v>
      </c>
      <c r="H45" s="25">
        <v>96.6923481543365</v>
      </c>
      <c r="I45" s="25">
        <v>120.865435192921</v>
      </c>
      <c r="J45" s="25">
        <v>108.778891673629</v>
      </c>
      <c r="K45" s="25">
        <v>60.4327175964603</v>
      </c>
      <c r="L45" s="25">
        <v>60.4327175964603</v>
      </c>
      <c r="M45" s="25">
        <v>60.4327175964603</v>
      </c>
      <c r="N45" s="25">
        <v>96.6923481543365</v>
      </c>
      <c r="O45" s="25">
        <v>145.038522231505</v>
      </c>
      <c r="P45" s="25">
        <v>205.47123982796501</v>
      </c>
      <c r="Q45" s="25">
        <v>205.47123982796501</v>
      </c>
      <c r="R45" s="25">
        <v>205.47123982796501</v>
      </c>
      <c r="S45" s="25">
        <v>217.55778334725699</v>
      </c>
      <c r="T45" s="25">
        <v>217.55778334725699</v>
      </c>
      <c r="U45" s="25">
        <v>217.55778334725699</v>
      </c>
    </row>
    <row r="46" spans="1:21">
      <c r="A46" s="43" t="s">
        <v>44</v>
      </c>
      <c r="B46" s="25">
        <v>193.384696308673</v>
      </c>
      <c r="C46" s="25">
        <v>193.384696308673</v>
      </c>
      <c r="D46" s="25">
        <v>193.384696308673</v>
      </c>
      <c r="E46" s="25">
        <v>157.12506575079701</v>
      </c>
      <c r="F46" s="25">
        <v>157.12506575079701</v>
      </c>
      <c r="G46" s="25">
        <v>157.12506575079701</v>
      </c>
      <c r="H46" s="25">
        <v>96.6923481543365</v>
      </c>
      <c r="I46" s="25">
        <v>120.865435192921</v>
      </c>
      <c r="J46" s="25">
        <v>108.778891673629</v>
      </c>
      <c r="K46" s="25">
        <v>60.4327175964603</v>
      </c>
      <c r="L46" s="25">
        <v>60.4327175964603</v>
      </c>
      <c r="M46" s="25">
        <v>60.4327175964603</v>
      </c>
      <c r="N46" s="25">
        <v>96.6923481543365</v>
      </c>
      <c r="O46" s="25">
        <v>145.038522231505</v>
      </c>
      <c r="P46" s="25">
        <v>205.47123982796501</v>
      </c>
      <c r="Q46" s="25">
        <v>205.47123982796501</v>
      </c>
      <c r="R46" s="25">
        <v>205.47123982796501</v>
      </c>
      <c r="S46" s="25">
        <v>217.55778334725699</v>
      </c>
      <c r="T46" s="25">
        <v>217.55778334725699</v>
      </c>
      <c r="U46" s="25">
        <v>217.55778334725699</v>
      </c>
    </row>
    <row r="47" spans="1:21">
      <c r="A47" s="43" t="s">
        <v>45</v>
      </c>
      <c r="B47" s="25">
        <v>193.384696308673</v>
      </c>
      <c r="C47" s="25">
        <v>193.384696308673</v>
      </c>
      <c r="D47" s="25">
        <v>193.384696308673</v>
      </c>
      <c r="E47" s="25">
        <v>157.12506575079701</v>
      </c>
      <c r="F47" s="25">
        <v>157.12506575079701</v>
      </c>
      <c r="G47" s="25">
        <v>157.12506575079701</v>
      </c>
      <c r="H47" s="25">
        <v>96.6923481543365</v>
      </c>
      <c r="I47" s="25">
        <v>120.865435192921</v>
      </c>
      <c r="J47" s="25">
        <v>108.778891673629</v>
      </c>
      <c r="K47" s="25">
        <v>60.4327175964603</v>
      </c>
      <c r="L47" s="25">
        <v>60.4327175964603</v>
      </c>
      <c r="M47" s="25">
        <v>60.4327175964603</v>
      </c>
      <c r="N47" s="25">
        <v>96.6923481543365</v>
      </c>
      <c r="O47" s="25">
        <v>145.038522231505</v>
      </c>
      <c r="P47" s="25">
        <v>205.47123982796501</v>
      </c>
      <c r="Q47" s="25">
        <v>205.47123982796501</v>
      </c>
      <c r="R47" s="25">
        <v>205.47123982796501</v>
      </c>
      <c r="S47" s="25">
        <v>217.55778334725699</v>
      </c>
      <c r="T47" s="25">
        <v>217.55778334725699</v>
      </c>
      <c r="U47" s="25">
        <v>217.55778334725699</v>
      </c>
    </row>
    <row r="48" spans="1:21">
      <c r="A48" s="43" t="s">
        <v>119</v>
      </c>
      <c r="B48" s="25">
        <v>193.384696308673</v>
      </c>
      <c r="C48" s="25">
        <v>193.384696308673</v>
      </c>
      <c r="D48" s="25">
        <v>193.384696308673</v>
      </c>
      <c r="E48" s="25">
        <v>157.12506575079701</v>
      </c>
      <c r="F48" s="25">
        <v>157.12506575079701</v>
      </c>
      <c r="G48" s="25">
        <v>157.12506575079701</v>
      </c>
      <c r="H48" s="25">
        <v>96.6923481543365</v>
      </c>
      <c r="I48" s="25">
        <v>120.865435192921</v>
      </c>
      <c r="J48" s="25">
        <v>108.778891673629</v>
      </c>
      <c r="K48" s="25">
        <v>60.4327175964603</v>
      </c>
      <c r="L48" s="25">
        <v>60.4327175964603</v>
      </c>
      <c r="M48" s="25">
        <v>60.4327175964603</v>
      </c>
      <c r="N48" s="25">
        <v>96.6923481543365</v>
      </c>
      <c r="O48" s="25">
        <v>145.038522231505</v>
      </c>
      <c r="P48" s="25">
        <v>205.47123982796501</v>
      </c>
      <c r="Q48" s="25">
        <v>205.47123982796501</v>
      </c>
      <c r="R48" s="25">
        <v>205.47123982796501</v>
      </c>
      <c r="S48" s="25">
        <v>217.55778334725699</v>
      </c>
      <c r="T48" s="25">
        <v>217.55778334725699</v>
      </c>
      <c r="U48" s="25">
        <v>217.55778334725699</v>
      </c>
    </row>
    <row r="49" spans="1:21">
      <c r="A49" s="43" t="s">
        <v>120</v>
      </c>
      <c r="B49" s="25">
        <v>193.384696308673</v>
      </c>
      <c r="C49" s="25">
        <v>193.384696308673</v>
      </c>
      <c r="D49" s="25">
        <v>193.384696308673</v>
      </c>
      <c r="E49" s="25">
        <v>157.12506575079701</v>
      </c>
      <c r="F49" s="25">
        <v>157.12506575079701</v>
      </c>
      <c r="G49" s="25">
        <v>157.12506575079701</v>
      </c>
      <c r="H49" s="25">
        <v>96.6923481543365</v>
      </c>
      <c r="I49" s="25">
        <v>120.865435192921</v>
      </c>
      <c r="J49" s="25">
        <v>108.778891673629</v>
      </c>
      <c r="K49" s="25">
        <v>60.4327175964603</v>
      </c>
      <c r="L49" s="25">
        <v>60.4327175964603</v>
      </c>
      <c r="M49" s="25">
        <v>60.4327175964603</v>
      </c>
      <c r="N49" s="25">
        <v>96.6923481543365</v>
      </c>
      <c r="O49" s="25">
        <v>145.038522231505</v>
      </c>
      <c r="P49" s="25">
        <v>205.47123982796501</v>
      </c>
      <c r="Q49" s="25">
        <v>205.47123982796501</v>
      </c>
      <c r="R49" s="25">
        <v>205.47123982796501</v>
      </c>
      <c r="S49" s="25">
        <v>217.55778334725699</v>
      </c>
      <c r="T49" s="25">
        <v>217.55778334725699</v>
      </c>
      <c r="U49" s="25">
        <v>217.55778334725699</v>
      </c>
    </row>
    <row r="50" spans="1:21">
      <c r="A50" s="43" t="s">
        <v>121</v>
      </c>
      <c r="B50" s="25">
        <v>193.384696308673</v>
      </c>
      <c r="C50" s="25">
        <v>193.384696308673</v>
      </c>
      <c r="D50" s="25">
        <v>193.384696308673</v>
      </c>
      <c r="E50" s="25">
        <v>157.12506575079701</v>
      </c>
      <c r="F50" s="25">
        <v>157.12506575079701</v>
      </c>
      <c r="G50" s="25">
        <v>157.12506575079701</v>
      </c>
      <c r="H50" s="25">
        <v>96.6923481543365</v>
      </c>
      <c r="I50" s="25">
        <v>120.865435192921</v>
      </c>
      <c r="J50" s="25">
        <v>108.778891673629</v>
      </c>
      <c r="K50" s="25">
        <v>60.4327175964603</v>
      </c>
      <c r="L50" s="25">
        <v>60.4327175964603</v>
      </c>
      <c r="M50" s="25">
        <v>60.4327175964603</v>
      </c>
      <c r="N50" s="25">
        <v>96.6923481543365</v>
      </c>
      <c r="O50" s="25">
        <v>145.038522231505</v>
      </c>
      <c r="P50" s="25">
        <v>205.47123982796501</v>
      </c>
      <c r="Q50" s="25">
        <v>205.47123982796501</v>
      </c>
      <c r="R50" s="25">
        <v>205.47123982796501</v>
      </c>
      <c r="S50" s="25">
        <v>217.55778334725699</v>
      </c>
      <c r="T50" s="25">
        <v>217.55778334725699</v>
      </c>
      <c r="U50" s="25">
        <v>217.55778334725699</v>
      </c>
    </row>
    <row r="51" spans="1:21">
      <c r="A51" s="43" t="s">
        <v>122</v>
      </c>
      <c r="B51" s="25">
        <v>193.384696308673</v>
      </c>
      <c r="C51" s="25">
        <v>193.384696308673</v>
      </c>
      <c r="D51" s="25">
        <v>193.384696308673</v>
      </c>
      <c r="E51" s="25">
        <v>157.12506575079701</v>
      </c>
      <c r="F51" s="25">
        <v>157.12506575079701</v>
      </c>
      <c r="G51" s="25">
        <v>157.12506575079701</v>
      </c>
      <c r="H51" s="25">
        <v>96.6923481543365</v>
      </c>
      <c r="I51" s="25">
        <v>120.865435192921</v>
      </c>
      <c r="J51" s="25">
        <v>108.778891673629</v>
      </c>
      <c r="K51" s="25">
        <v>60.4327175964603</v>
      </c>
      <c r="L51" s="25">
        <v>60.4327175964603</v>
      </c>
      <c r="M51" s="25">
        <v>60.4327175964603</v>
      </c>
      <c r="N51" s="25">
        <v>96.6923481543365</v>
      </c>
      <c r="O51" s="25">
        <v>145.038522231505</v>
      </c>
      <c r="P51" s="25">
        <v>205.47123982796501</v>
      </c>
      <c r="Q51" s="25">
        <v>205.47123982796501</v>
      </c>
      <c r="R51" s="25">
        <v>205.47123982796501</v>
      </c>
      <c r="S51" s="25">
        <v>217.55778334725699</v>
      </c>
      <c r="T51" s="25">
        <v>217.55778334725699</v>
      </c>
      <c r="U51" s="25">
        <v>217.55778334725699</v>
      </c>
    </row>
    <row r="52" spans="1:21">
      <c r="A52" s="43" t="s">
        <v>123</v>
      </c>
      <c r="B52" s="25">
        <v>193.384696308673</v>
      </c>
      <c r="C52" s="25">
        <v>193.384696308673</v>
      </c>
      <c r="D52" s="25">
        <v>193.384696308673</v>
      </c>
      <c r="E52" s="25">
        <v>157.12506575079701</v>
      </c>
      <c r="F52" s="25">
        <v>157.12506575079701</v>
      </c>
      <c r="G52" s="25">
        <v>157.12506575079701</v>
      </c>
      <c r="H52" s="25">
        <v>96.6923481543365</v>
      </c>
      <c r="I52" s="25">
        <v>120.865435192921</v>
      </c>
      <c r="J52" s="25">
        <v>108.778891673629</v>
      </c>
      <c r="K52" s="25">
        <v>60.4327175964603</v>
      </c>
      <c r="L52" s="25">
        <v>60.4327175964603</v>
      </c>
      <c r="M52" s="25">
        <v>60.4327175964603</v>
      </c>
      <c r="N52" s="25">
        <v>96.6923481543365</v>
      </c>
      <c r="O52" s="25">
        <v>145.038522231505</v>
      </c>
      <c r="P52" s="25">
        <v>205.47123982796501</v>
      </c>
      <c r="Q52" s="25">
        <v>205.47123982796501</v>
      </c>
      <c r="R52" s="25">
        <v>205.47123982796501</v>
      </c>
      <c r="S52" s="25">
        <v>217.55778334725699</v>
      </c>
      <c r="T52" s="25">
        <v>217.55778334725699</v>
      </c>
      <c r="U52" s="25">
        <v>217.55778334725699</v>
      </c>
    </row>
    <row r="53" spans="1:21">
      <c r="A53" s="43" t="s">
        <v>124</v>
      </c>
      <c r="B53" s="25">
        <v>193.384696308673</v>
      </c>
      <c r="C53" s="25">
        <v>193.384696308673</v>
      </c>
      <c r="D53" s="25">
        <v>193.384696308673</v>
      </c>
      <c r="E53" s="25">
        <v>157.12506575079701</v>
      </c>
      <c r="F53" s="25">
        <v>157.12506575079701</v>
      </c>
      <c r="G53" s="25">
        <v>157.12506575079701</v>
      </c>
      <c r="H53" s="25">
        <v>96.6923481543365</v>
      </c>
      <c r="I53" s="25">
        <v>120.865435192921</v>
      </c>
      <c r="J53" s="25">
        <v>108.778891673629</v>
      </c>
      <c r="K53" s="25">
        <v>60.4327175964603</v>
      </c>
      <c r="L53" s="25">
        <v>60.4327175964603</v>
      </c>
      <c r="M53" s="25">
        <v>60.4327175964603</v>
      </c>
      <c r="N53" s="25">
        <v>96.6923481543365</v>
      </c>
      <c r="O53" s="25">
        <v>145.038522231505</v>
      </c>
      <c r="P53" s="25">
        <v>205.47123982796501</v>
      </c>
      <c r="Q53" s="25">
        <v>205.47123982796501</v>
      </c>
      <c r="R53" s="25">
        <v>205.47123982796501</v>
      </c>
      <c r="S53" s="25">
        <v>217.55778334725699</v>
      </c>
      <c r="T53" s="25">
        <v>217.55778334725699</v>
      </c>
      <c r="U53" s="25">
        <v>217.55778334725699</v>
      </c>
    </row>
    <row r="54" spans="1:21">
      <c r="A54" s="43" t="s">
        <v>125</v>
      </c>
      <c r="B54" s="25">
        <v>193.384696308673</v>
      </c>
      <c r="C54" s="25">
        <v>193.384696308673</v>
      </c>
      <c r="D54" s="25">
        <v>193.384696308673</v>
      </c>
      <c r="E54" s="25">
        <v>157.12506575079701</v>
      </c>
      <c r="F54" s="25">
        <v>157.12506575079701</v>
      </c>
      <c r="G54" s="25">
        <v>157.12506575079701</v>
      </c>
      <c r="H54" s="25">
        <v>96.6923481543365</v>
      </c>
      <c r="I54" s="25">
        <v>120.865435192921</v>
      </c>
      <c r="J54" s="25">
        <v>108.778891673629</v>
      </c>
      <c r="K54" s="25">
        <v>60.4327175964603</v>
      </c>
      <c r="L54" s="25">
        <v>60.4327175964603</v>
      </c>
      <c r="M54" s="25">
        <v>60.4327175964603</v>
      </c>
      <c r="N54" s="25">
        <v>96.6923481543365</v>
      </c>
      <c r="O54" s="25">
        <v>145.038522231505</v>
      </c>
      <c r="P54" s="25">
        <v>205.47123982796501</v>
      </c>
      <c r="Q54" s="25">
        <v>205.47123982796501</v>
      </c>
      <c r="R54" s="25">
        <v>205.47123982796501</v>
      </c>
      <c r="S54" s="25">
        <v>217.55778334725699</v>
      </c>
      <c r="T54" s="25">
        <v>217.55778334725699</v>
      </c>
      <c r="U54" s="25">
        <v>217.55778334725699</v>
      </c>
    </row>
    <row r="55" spans="1:21">
      <c r="A55" s="43" t="s">
        <v>126</v>
      </c>
      <c r="B55" s="25">
        <v>193.384696308673</v>
      </c>
      <c r="C55" s="25">
        <v>193.384696308673</v>
      </c>
      <c r="D55" s="25">
        <v>193.384696308673</v>
      </c>
      <c r="E55" s="25">
        <v>157.12506575079701</v>
      </c>
      <c r="F55" s="25">
        <v>157.12506575079701</v>
      </c>
      <c r="G55" s="25">
        <v>157.12506575079701</v>
      </c>
      <c r="H55" s="25">
        <v>96.6923481543365</v>
      </c>
      <c r="I55" s="25">
        <v>120.865435192921</v>
      </c>
      <c r="J55" s="25">
        <v>108.778891673629</v>
      </c>
      <c r="K55" s="25">
        <v>60.4327175964603</v>
      </c>
      <c r="L55" s="25">
        <v>60.4327175964603</v>
      </c>
      <c r="M55" s="25">
        <v>60.4327175964603</v>
      </c>
      <c r="N55" s="25">
        <v>96.6923481543365</v>
      </c>
      <c r="O55" s="25">
        <v>145.038522231505</v>
      </c>
      <c r="P55" s="25">
        <v>205.47123982796501</v>
      </c>
      <c r="Q55" s="25">
        <v>205.47123982796501</v>
      </c>
      <c r="R55" s="25">
        <v>205.47123982796501</v>
      </c>
      <c r="S55" s="25">
        <v>217.55778334725699</v>
      </c>
      <c r="T55" s="25">
        <v>217.55778334725699</v>
      </c>
      <c r="U55" s="25">
        <v>217.55778334725699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33"/>
  <sheetViews>
    <sheetView workbookViewId="0">
      <selection activeCell="Y55" sqref="Y55"/>
    </sheetView>
  </sheetViews>
  <sheetFormatPr baseColWidth="10" defaultColWidth="9" defaultRowHeight="15"/>
  <cols>
    <col min="1" max="1" width="9.1640625" customWidth="1"/>
    <col min="3" max="4" width="13.5" customWidth="1"/>
  </cols>
  <sheetData>
    <row r="1" spans="1:25" ht="16">
      <c r="A1" s="2" t="s">
        <v>17</v>
      </c>
      <c r="B1" s="23" t="s">
        <v>18</v>
      </c>
      <c r="C1" s="24" t="s">
        <v>86</v>
      </c>
      <c r="D1" s="24"/>
      <c r="E1" s="3" t="s">
        <v>18</v>
      </c>
      <c r="F1" s="4" t="s">
        <v>5</v>
      </c>
      <c r="G1" s="4" t="s">
        <v>6</v>
      </c>
      <c r="H1" s="4" t="s">
        <v>7</v>
      </c>
      <c r="I1" s="8" t="s">
        <v>8</v>
      </c>
      <c r="J1" s="8" t="s">
        <v>9</v>
      </c>
      <c r="K1" s="8" t="s">
        <v>10</v>
      </c>
      <c r="L1" s="4">
        <v>9</v>
      </c>
      <c r="M1" s="4">
        <v>10</v>
      </c>
      <c r="N1" s="4">
        <v>11</v>
      </c>
      <c r="O1" s="4">
        <v>12</v>
      </c>
      <c r="P1" s="4">
        <v>1</v>
      </c>
      <c r="Q1" s="4">
        <v>2</v>
      </c>
      <c r="R1" s="4">
        <v>3</v>
      </c>
      <c r="S1" s="4">
        <v>4</v>
      </c>
      <c r="T1" s="8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16</v>
      </c>
    </row>
    <row r="2" spans="1:25">
      <c r="A2" s="5">
        <v>1970</v>
      </c>
      <c r="B2" s="4" t="s">
        <v>5</v>
      </c>
      <c r="C2" s="25">
        <v>330</v>
      </c>
      <c r="D2" s="26"/>
      <c r="E2" s="32" t="s">
        <v>127</v>
      </c>
      <c r="F2" s="5">
        <v>350</v>
      </c>
      <c r="G2" s="5">
        <v>350</v>
      </c>
      <c r="H2" s="5">
        <v>350</v>
      </c>
      <c r="I2" s="5">
        <v>350</v>
      </c>
      <c r="J2" s="5">
        <v>350</v>
      </c>
      <c r="K2" s="5">
        <v>350</v>
      </c>
      <c r="L2" s="5">
        <v>350</v>
      </c>
      <c r="M2" s="5">
        <v>350</v>
      </c>
      <c r="N2" s="5">
        <v>350</v>
      </c>
      <c r="O2" s="5">
        <v>350</v>
      </c>
      <c r="P2" s="5">
        <v>350</v>
      </c>
      <c r="Q2" s="5">
        <v>350</v>
      </c>
      <c r="R2" s="5">
        <v>350</v>
      </c>
      <c r="S2" s="5">
        <v>350</v>
      </c>
      <c r="T2" s="5">
        <v>350</v>
      </c>
      <c r="U2" s="5">
        <v>350</v>
      </c>
      <c r="V2" s="5">
        <v>350</v>
      </c>
      <c r="W2" s="5">
        <v>350</v>
      </c>
      <c r="X2" s="5">
        <v>350</v>
      </c>
      <c r="Y2" s="5">
        <v>350</v>
      </c>
    </row>
    <row r="3" spans="1:25">
      <c r="A3" s="5"/>
      <c r="B3" s="4" t="s">
        <v>6</v>
      </c>
      <c r="C3" s="25">
        <v>330</v>
      </c>
      <c r="D3" s="26"/>
      <c r="E3" s="32" t="s">
        <v>128</v>
      </c>
      <c r="F3" s="5">
        <v>350</v>
      </c>
      <c r="G3" s="5">
        <v>350</v>
      </c>
      <c r="H3" s="5">
        <v>350</v>
      </c>
      <c r="I3" s="5">
        <v>350</v>
      </c>
      <c r="J3" s="5">
        <v>350</v>
      </c>
      <c r="K3" s="5">
        <v>350</v>
      </c>
      <c r="L3" s="5">
        <v>350</v>
      </c>
      <c r="M3" s="5">
        <v>350</v>
      </c>
      <c r="N3" s="5">
        <v>350</v>
      </c>
      <c r="O3" s="5">
        <v>350</v>
      </c>
      <c r="P3" s="5">
        <v>350</v>
      </c>
      <c r="Q3" s="5">
        <v>350</v>
      </c>
      <c r="R3" s="5">
        <v>350</v>
      </c>
      <c r="S3" s="5">
        <v>350</v>
      </c>
      <c r="T3" s="5">
        <v>350</v>
      </c>
      <c r="U3" s="5">
        <v>350</v>
      </c>
      <c r="V3" s="5">
        <v>350</v>
      </c>
      <c r="W3" s="5">
        <v>350</v>
      </c>
      <c r="X3" s="5">
        <v>350</v>
      </c>
      <c r="Y3" s="5">
        <v>350</v>
      </c>
    </row>
    <row r="4" spans="1:25">
      <c r="A4" s="5"/>
      <c r="B4" s="4" t="s">
        <v>7</v>
      </c>
      <c r="C4" s="25">
        <v>330</v>
      </c>
      <c r="D4" s="26"/>
      <c r="E4" s="32" t="s">
        <v>48</v>
      </c>
      <c r="F4" s="5">
        <v>350</v>
      </c>
      <c r="G4" s="5">
        <v>350</v>
      </c>
      <c r="H4" s="5">
        <v>350</v>
      </c>
      <c r="I4" s="5">
        <v>350</v>
      </c>
      <c r="J4" s="5">
        <v>350</v>
      </c>
      <c r="K4" s="5">
        <v>350</v>
      </c>
      <c r="L4" s="5">
        <v>350</v>
      </c>
      <c r="M4" s="5">
        <v>350</v>
      </c>
      <c r="N4" s="5">
        <v>350</v>
      </c>
      <c r="O4" s="5">
        <v>350</v>
      </c>
      <c r="P4" s="5">
        <v>350</v>
      </c>
      <c r="Q4" s="5">
        <v>350</v>
      </c>
      <c r="R4" s="5">
        <v>350</v>
      </c>
      <c r="S4" s="5">
        <v>350</v>
      </c>
      <c r="T4" s="5">
        <v>350</v>
      </c>
      <c r="U4" s="5">
        <v>350</v>
      </c>
      <c r="V4" s="5">
        <v>350</v>
      </c>
      <c r="W4" s="5">
        <v>350</v>
      </c>
      <c r="X4" s="5">
        <v>350</v>
      </c>
      <c r="Y4" s="5">
        <v>350</v>
      </c>
    </row>
    <row r="5" spans="1:25">
      <c r="A5" s="5"/>
      <c r="B5" s="8" t="s">
        <v>8</v>
      </c>
      <c r="C5" s="25">
        <v>330</v>
      </c>
      <c r="D5" s="26"/>
      <c r="E5" s="32" t="s">
        <v>49</v>
      </c>
      <c r="F5" s="5">
        <v>350</v>
      </c>
      <c r="G5" s="5">
        <v>350</v>
      </c>
      <c r="H5" s="5">
        <v>350</v>
      </c>
      <c r="I5" s="5">
        <v>350</v>
      </c>
      <c r="J5" s="5">
        <v>350</v>
      </c>
      <c r="K5" s="5">
        <v>350</v>
      </c>
      <c r="L5" s="5">
        <v>350</v>
      </c>
      <c r="M5" s="5">
        <v>350</v>
      </c>
      <c r="N5" s="5">
        <v>350</v>
      </c>
      <c r="O5" s="5">
        <v>350</v>
      </c>
      <c r="P5" s="5">
        <v>350</v>
      </c>
      <c r="Q5" s="5">
        <v>350</v>
      </c>
      <c r="R5" s="5">
        <v>350</v>
      </c>
      <c r="S5" s="5">
        <v>350</v>
      </c>
      <c r="T5" s="5">
        <v>350</v>
      </c>
      <c r="U5" s="5">
        <v>350</v>
      </c>
      <c r="V5" s="5">
        <v>350</v>
      </c>
      <c r="W5" s="5">
        <v>350</v>
      </c>
      <c r="X5" s="5">
        <v>350</v>
      </c>
      <c r="Y5" s="5">
        <v>350</v>
      </c>
    </row>
    <row r="6" spans="1:25">
      <c r="A6" s="5"/>
      <c r="B6" s="8" t="s">
        <v>9</v>
      </c>
      <c r="C6" s="25">
        <v>330</v>
      </c>
      <c r="D6" s="26"/>
      <c r="E6" s="32" t="s">
        <v>50</v>
      </c>
      <c r="F6" s="5">
        <v>350</v>
      </c>
      <c r="G6" s="5">
        <v>350</v>
      </c>
      <c r="H6" s="5">
        <v>350</v>
      </c>
      <c r="I6" s="5">
        <v>350</v>
      </c>
      <c r="J6" s="5">
        <v>350</v>
      </c>
      <c r="K6" s="5">
        <v>350</v>
      </c>
      <c r="L6" s="5">
        <v>350</v>
      </c>
      <c r="M6" s="5">
        <v>350</v>
      </c>
      <c r="N6" s="5">
        <v>350</v>
      </c>
      <c r="O6" s="5">
        <v>350</v>
      </c>
      <c r="P6" s="5">
        <v>350</v>
      </c>
      <c r="Q6" s="5">
        <v>350</v>
      </c>
      <c r="R6" s="5">
        <v>350</v>
      </c>
      <c r="S6" s="5">
        <v>350</v>
      </c>
      <c r="T6" s="5">
        <v>350</v>
      </c>
      <c r="U6" s="5">
        <v>350</v>
      </c>
      <c r="V6" s="5">
        <v>350</v>
      </c>
      <c r="W6" s="5">
        <v>350</v>
      </c>
      <c r="X6" s="5">
        <v>350</v>
      </c>
      <c r="Y6" s="5">
        <v>350</v>
      </c>
    </row>
    <row r="7" spans="1:25">
      <c r="A7" s="5"/>
      <c r="B7" s="8" t="s">
        <v>10</v>
      </c>
      <c r="C7" s="25">
        <v>330</v>
      </c>
      <c r="D7" s="26"/>
      <c r="E7" s="32" t="s">
        <v>51</v>
      </c>
      <c r="F7" s="5">
        <v>350</v>
      </c>
      <c r="G7" s="5">
        <v>350</v>
      </c>
      <c r="H7" s="5">
        <v>350</v>
      </c>
      <c r="I7" s="5">
        <v>350</v>
      </c>
      <c r="J7" s="5">
        <v>350</v>
      </c>
      <c r="K7" s="5">
        <v>350</v>
      </c>
      <c r="L7" s="5">
        <v>350</v>
      </c>
      <c r="M7" s="5">
        <v>350</v>
      </c>
      <c r="N7" s="5">
        <v>350</v>
      </c>
      <c r="O7" s="5">
        <v>350</v>
      </c>
      <c r="P7" s="5">
        <v>350</v>
      </c>
      <c r="Q7" s="5">
        <v>350</v>
      </c>
      <c r="R7" s="5">
        <v>350</v>
      </c>
      <c r="S7" s="5">
        <v>350</v>
      </c>
      <c r="T7" s="5">
        <v>350</v>
      </c>
      <c r="U7" s="5">
        <v>350</v>
      </c>
      <c r="V7" s="5">
        <v>350</v>
      </c>
      <c r="W7" s="5">
        <v>350</v>
      </c>
      <c r="X7" s="5">
        <v>350</v>
      </c>
      <c r="Y7" s="5">
        <v>350</v>
      </c>
    </row>
    <row r="8" spans="1:25">
      <c r="A8" s="5"/>
      <c r="B8" s="4">
        <v>9</v>
      </c>
      <c r="C8" s="25">
        <v>330</v>
      </c>
      <c r="D8" s="26"/>
      <c r="E8" s="32" t="s">
        <v>52</v>
      </c>
      <c r="F8" s="5">
        <v>350</v>
      </c>
      <c r="G8" s="5">
        <v>350</v>
      </c>
      <c r="H8" s="5">
        <v>350</v>
      </c>
      <c r="I8" s="5">
        <v>350</v>
      </c>
      <c r="J8" s="5">
        <v>350</v>
      </c>
      <c r="K8" s="5">
        <v>350</v>
      </c>
      <c r="L8" s="5">
        <v>350</v>
      </c>
      <c r="M8" s="5">
        <v>350</v>
      </c>
      <c r="N8" s="5">
        <v>350</v>
      </c>
      <c r="O8" s="5">
        <v>350</v>
      </c>
      <c r="P8" s="5">
        <v>350</v>
      </c>
      <c r="Q8" s="5">
        <v>350</v>
      </c>
      <c r="R8" s="5">
        <v>350</v>
      </c>
      <c r="S8" s="5">
        <v>350</v>
      </c>
      <c r="T8" s="5">
        <v>350</v>
      </c>
      <c r="U8" s="5">
        <v>350</v>
      </c>
      <c r="V8" s="5">
        <v>350</v>
      </c>
      <c r="W8" s="5">
        <v>350</v>
      </c>
      <c r="X8" s="5">
        <v>350</v>
      </c>
      <c r="Y8" s="5">
        <v>350</v>
      </c>
    </row>
    <row r="9" spans="1:25">
      <c r="A9" s="5"/>
      <c r="B9" s="4">
        <v>10</v>
      </c>
      <c r="C9" s="25">
        <v>330</v>
      </c>
      <c r="D9" s="26"/>
      <c r="E9" s="32" t="s">
        <v>53</v>
      </c>
      <c r="F9" s="5">
        <v>350</v>
      </c>
      <c r="G9" s="5">
        <v>350</v>
      </c>
      <c r="H9" s="5">
        <v>350</v>
      </c>
      <c r="I9" s="5">
        <v>350</v>
      </c>
      <c r="J9" s="5">
        <v>350</v>
      </c>
      <c r="K9" s="5">
        <v>350</v>
      </c>
      <c r="L9" s="5">
        <v>350</v>
      </c>
      <c r="M9" s="5">
        <v>350</v>
      </c>
      <c r="N9" s="5">
        <v>350</v>
      </c>
      <c r="O9" s="5">
        <v>350</v>
      </c>
      <c r="P9" s="5">
        <v>350</v>
      </c>
      <c r="Q9" s="5">
        <v>350</v>
      </c>
      <c r="R9" s="5">
        <v>350</v>
      </c>
      <c r="S9" s="5">
        <v>350</v>
      </c>
      <c r="T9" s="5">
        <v>350</v>
      </c>
      <c r="U9" s="5">
        <v>350</v>
      </c>
      <c r="V9" s="5">
        <v>350</v>
      </c>
      <c r="W9" s="5">
        <v>350</v>
      </c>
      <c r="X9" s="5">
        <v>350</v>
      </c>
      <c r="Y9" s="5">
        <v>350</v>
      </c>
    </row>
    <row r="10" spans="1:25">
      <c r="A10" s="5"/>
      <c r="B10" s="4">
        <v>11</v>
      </c>
      <c r="C10" s="25">
        <v>330</v>
      </c>
      <c r="D10" s="26"/>
      <c r="E10" s="32" t="s">
        <v>54</v>
      </c>
      <c r="F10" s="5">
        <v>350</v>
      </c>
      <c r="G10" s="5">
        <v>350</v>
      </c>
      <c r="H10" s="5">
        <v>350</v>
      </c>
      <c r="I10" s="5">
        <v>350</v>
      </c>
      <c r="J10" s="5">
        <v>350</v>
      </c>
      <c r="K10" s="5">
        <v>350</v>
      </c>
      <c r="L10" s="5">
        <v>350</v>
      </c>
      <c r="M10" s="5">
        <v>350</v>
      </c>
      <c r="N10" s="5">
        <v>350</v>
      </c>
      <c r="O10" s="5">
        <v>350</v>
      </c>
      <c r="P10" s="5">
        <v>350</v>
      </c>
      <c r="Q10" s="5">
        <v>350</v>
      </c>
      <c r="R10" s="5">
        <v>350</v>
      </c>
      <c r="S10" s="5">
        <v>350</v>
      </c>
      <c r="T10" s="5">
        <v>350</v>
      </c>
      <c r="U10" s="5">
        <v>350</v>
      </c>
      <c r="V10" s="5">
        <v>350</v>
      </c>
      <c r="W10" s="5">
        <v>350</v>
      </c>
      <c r="X10" s="5">
        <v>350</v>
      </c>
      <c r="Y10" s="5">
        <v>350</v>
      </c>
    </row>
    <row r="11" spans="1:25">
      <c r="A11" s="5"/>
      <c r="B11" s="4">
        <v>12</v>
      </c>
      <c r="C11" s="25">
        <v>330</v>
      </c>
      <c r="D11" s="26"/>
      <c r="E11" s="32" t="s">
        <v>55</v>
      </c>
      <c r="F11" s="5">
        <v>350</v>
      </c>
      <c r="G11" s="5">
        <v>350</v>
      </c>
      <c r="H11" s="5">
        <v>350</v>
      </c>
      <c r="I11" s="5">
        <v>350</v>
      </c>
      <c r="J11" s="5">
        <v>350</v>
      </c>
      <c r="K11" s="5">
        <v>350</v>
      </c>
      <c r="L11" s="5">
        <v>350</v>
      </c>
      <c r="M11" s="5">
        <v>350</v>
      </c>
      <c r="N11" s="5">
        <v>350</v>
      </c>
      <c r="O11" s="5">
        <v>350</v>
      </c>
      <c r="P11" s="5">
        <v>350</v>
      </c>
      <c r="Q11" s="5">
        <v>350</v>
      </c>
      <c r="R11" s="5">
        <v>350</v>
      </c>
      <c r="S11" s="5">
        <v>350</v>
      </c>
      <c r="T11" s="5">
        <v>350</v>
      </c>
      <c r="U11" s="5">
        <v>350</v>
      </c>
      <c r="V11" s="5">
        <v>350</v>
      </c>
      <c r="W11" s="5">
        <v>350</v>
      </c>
      <c r="X11" s="5">
        <v>350</v>
      </c>
      <c r="Y11" s="5">
        <v>350</v>
      </c>
    </row>
    <row r="12" spans="1:25">
      <c r="A12" s="5"/>
      <c r="B12" s="4">
        <v>1</v>
      </c>
      <c r="C12" s="25">
        <v>330</v>
      </c>
      <c r="D12" s="26"/>
      <c r="E12" s="32" t="s">
        <v>56</v>
      </c>
      <c r="F12" s="5">
        <v>350</v>
      </c>
      <c r="G12" s="5">
        <v>350</v>
      </c>
      <c r="H12" s="5">
        <v>350</v>
      </c>
      <c r="I12" s="5">
        <v>350</v>
      </c>
      <c r="J12" s="5">
        <v>350</v>
      </c>
      <c r="K12" s="5">
        <v>350</v>
      </c>
      <c r="L12" s="5">
        <v>350</v>
      </c>
      <c r="M12" s="5">
        <v>350</v>
      </c>
      <c r="N12" s="5">
        <v>350</v>
      </c>
      <c r="O12" s="5">
        <v>350</v>
      </c>
      <c r="P12" s="5">
        <v>350</v>
      </c>
      <c r="Q12" s="5">
        <v>350</v>
      </c>
      <c r="R12" s="5">
        <v>350</v>
      </c>
      <c r="S12" s="5">
        <v>350</v>
      </c>
      <c r="T12" s="5">
        <v>350</v>
      </c>
      <c r="U12" s="5">
        <v>350</v>
      </c>
      <c r="V12" s="5">
        <v>350</v>
      </c>
      <c r="W12" s="5">
        <v>350</v>
      </c>
      <c r="X12" s="5">
        <v>350</v>
      </c>
      <c r="Y12" s="5">
        <v>350</v>
      </c>
    </row>
    <row r="13" spans="1:25">
      <c r="A13" s="5"/>
      <c r="B13" s="4">
        <v>2</v>
      </c>
      <c r="C13" s="25">
        <v>330</v>
      </c>
      <c r="D13" s="26"/>
      <c r="E13" s="32" t="s">
        <v>57</v>
      </c>
      <c r="F13" s="5">
        <v>350</v>
      </c>
      <c r="G13" s="5">
        <v>350</v>
      </c>
      <c r="H13" s="5">
        <v>350</v>
      </c>
      <c r="I13" s="5">
        <v>350</v>
      </c>
      <c r="J13" s="5">
        <v>350</v>
      </c>
      <c r="K13" s="5">
        <v>350</v>
      </c>
      <c r="L13" s="5">
        <v>350</v>
      </c>
      <c r="M13" s="5">
        <v>350</v>
      </c>
      <c r="N13" s="5">
        <v>350</v>
      </c>
      <c r="O13" s="5">
        <v>350</v>
      </c>
      <c r="P13" s="5">
        <v>350</v>
      </c>
      <c r="Q13" s="5">
        <v>350</v>
      </c>
      <c r="R13" s="5">
        <v>350</v>
      </c>
      <c r="S13" s="5">
        <v>350</v>
      </c>
      <c r="T13" s="5">
        <v>350</v>
      </c>
      <c r="U13" s="5">
        <v>350</v>
      </c>
      <c r="V13" s="5">
        <v>350</v>
      </c>
      <c r="W13" s="5">
        <v>350</v>
      </c>
      <c r="X13" s="5">
        <v>350</v>
      </c>
      <c r="Y13" s="5">
        <v>350</v>
      </c>
    </row>
    <row r="14" spans="1:25">
      <c r="A14" s="5"/>
      <c r="B14" s="4">
        <v>3</v>
      </c>
      <c r="C14" s="25">
        <v>330</v>
      </c>
      <c r="D14" s="26"/>
      <c r="E14" s="32" t="s">
        <v>58</v>
      </c>
      <c r="F14" s="5">
        <v>350</v>
      </c>
      <c r="G14" s="5">
        <v>350</v>
      </c>
      <c r="H14" s="5">
        <v>350</v>
      </c>
      <c r="I14" s="5">
        <v>350</v>
      </c>
      <c r="J14" s="5">
        <v>350</v>
      </c>
      <c r="K14" s="5">
        <v>350</v>
      </c>
      <c r="L14" s="5">
        <v>350</v>
      </c>
      <c r="M14" s="5">
        <v>350</v>
      </c>
      <c r="N14" s="5">
        <v>350</v>
      </c>
      <c r="O14" s="5">
        <v>350</v>
      </c>
      <c r="P14" s="5">
        <v>350</v>
      </c>
      <c r="Q14" s="5">
        <v>350</v>
      </c>
      <c r="R14" s="5">
        <v>350</v>
      </c>
      <c r="S14" s="5">
        <v>350</v>
      </c>
      <c r="T14" s="5">
        <v>350</v>
      </c>
      <c r="U14" s="5">
        <v>350</v>
      </c>
      <c r="V14" s="5">
        <v>350</v>
      </c>
      <c r="W14" s="5">
        <v>350</v>
      </c>
      <c r="X14" s="5">
        <v>350</v>
      </c>
      <c r="Y14" s="5">
        <v>350</v>
      </c>
    </row>
    <row r="15" spans="1:25">
      <c r="A15" s="5"/>
      <c r="B15" s="4">
        <v>4</v>
      </c>
      <c r="C15" s="25">
        <v>330</v>
      </c>
      <c r="D15" s="26"/>
      <c r="E15" s="32" t="s">
        <v>59</v>
      </c>
      <c r="F15" s="5">
        <v>350</v>
      </c>
      <c r="G15" s="5">
        <v>350</v>
      </c>
      <c r="H15" s="5">
        <v>350</v>
      </c>
      <c r="I15" s="5">
        <v>350</v>
      </c>
      <c r="J15" s="5">
        <v>350</v>
      </c>
      <c r="K15" s="5">
        <v>350</v>
      </c>
      <c r="L15" s="5">
        <v>350</v>
      </c>
      <c r="M15" s="5">
        <v>350</v>
      </c>
      <c r="N15" s="5">
        <v>350</v>
      </c>
      <c r="O15" s="5">
        <v>350</v>
      </c>
      <c r="P15" s="5">
        <v>350</v>
      </c>
      <c r="Q15" s="5">
        <v>350</v>
      </c>
      <c r="R15" s="5">
        <v>350</v>
      </c>
      <c r="S15" s="5">
        <v>350</v>
      </c>
      <c r="T15" s="5">
        <v>350</v>
      </c>
      <c r="U15" s="5">
        <v>350</v>
      </c>
      <c r="V15" s="5">
        <v>350</v>
      </c>
      <c r="W15" s="5">
        <v>350</v>
      </c>
      <c r="X15" s="5">
        <v>350</v>
      </c>
      <c r="Y15" s="5">
        <v>350</v>
      </c>
    </row>
    <row r="16" spans="1:25">
      <c r="A16" s="5"/>
      <c r="B16" s="8" t="s">
        <v>11</v>
      </c>
      <c r="C16" s="25">
        <v>330</v>
      </c>
      <c r="D16" s="26"/>
      <c r="E16" s="32" t="s">
        <v>60</v>
      </c>
      <c r="F16" s="5">
        <v>350</v>
      </c>
      <c r="G16" s="5">
        <v>350</v>
      </c>
      <c r="H16" s="5">
        <v>350</v>
      </c>
      <c r="I16" s="5">
        <v>350</v>
      </c>
      <c r="J16" s="5">
        <v>350</v>
      </c>
      <c r="K16" s="5">
        <v>350</v>
      </c>
      <c r="L16" s="5">
        <v>350</v>
      </c>
      <c r="M16" s="5">
        <v>350</v>
      </c>
      <c r="N16" s="5">
        <v>350</v>
      </c>
      <c r="O16" s="5">
        <v>350</v>
      </c>
      <c r="P16" s="5">
        <v>350</v>
      </c>
      <c r="Q16" s="5">
        <v>350</v>
      </c>
      <c r="R16" s="5">
        <v>350</v>
      </c>
      <c r="S16" s="5">
        <v>350</v>
      </c>
      <c r="T16" s="5">
        <v>350</v>
      </c>
      <c r="U16" s="5">
        <v>350</v>
      </c>
      <c r="V16" s="5">
        <v>350</v>
      </c>
      <c r="W16" s="5">
        <v>350</v>
      </c>
      <c r="X16" s="5">
        <v>350</v>
      </c>
      <c r="Y16" s="5">
        <v>350</v>
      </c>
    </row>
    <row r="17" spans="1:25">
      <c r="A17" s="5"/>
      <c r="B17" s="8" t="s">
        <v>12</v>
      </c>
      <c r="C17" s="25">
        <v>330</v>
      </c>
      <c r="D17" s="26"/>
      <c r="E17" s="32" t="s">
        <v>61</v>
      </c>
      <c r="F17" s="5">
        <v>350</v>
      </c>
      <c r="G17" s="5">
        <v>350</v>
      </c>
      <c r="H17" s="5">
        <v>350</v>
      </c>
      <c r="I17" s="5">
        <v>350</v>
      </c>
      <c r="J17" s="5">
        <v>350</v>
      </c>
      <c r="K17" s="5">
        <v>350</v>
      </c>
      <c r="L17" s="5">
        <v>350</v>
      </c>
      <c r="M17" s="5">
        <v>350</v>
      </c>
      <c r="N17" s="5">
        <v>350</v>
      </c>
      <c r="O17" s="5">
        <v>350</v>
      </c>
      <c r="P17" s="5">
        <v>350</v>
      </c>
      <c r="Q17" s="5">
        <v>350</v>
      </c>
      <c r="R17" s="5">
        <v>350</v>
      </c>
      <c r="S17" s="5">
        <v>350</v>
      </c>
      <c r="T17" s="5">
        <v>350</v>
      </c>
      <c r="U17" s="5">
        <v>350</v>
      </c>
      <c r="V17" s="5">
        <v>350</v>
      </c>
      <c r="W17" s="5">
        <v>350</v>
      </c>
      <c r="X17" s="5">
        <v>350</v>
      </c>
      <c r="Y17" s="5">
        <v>350</v>
      </c>
    </row>
    <row r="18" spans="1:25">
      <c r="A18" s="5"/>
      <c r="B18" s="8" t="s">
        <v>13</v>
      </c>
      <c r="C18" s="25">
        <v>330</v>
      </c>
      <c r="D18" s="26"/>
      <c r="E18" s="32" t="s">
        <v>62</v>
      </c>
      <c r="F18" s="5">
        <v>350</v>
      </c>
      <c r="G18" s="5">
        <v>350</v>
      </c>
      <c r="H18" s="5">
        <v>350</v>
      </c>
      <c r="I18" s="5">
        <v>350</v>
      </c>
      <c r="J18" s="5">
        <v>350</v>
      </c>
      <c r="K18" s="5">
        <v>350</v>
      </c>
      <c r="L18" s="5">
        <v>350</v>
      </c>
      <c r="M18" s="5">
        <v>350</v>
      </c>
      <c r="N18" s="5">
        <v>350</v>
      </c>
      <c r="O18" s="5">
        <v>350</v>
      </c>
      <c r="P18" s="5">
        <v>350</v>
      </c>
      <c r="Q18" s="5">
        <v>350</v>
      </c>
      <c r="R18" s="5">
        <v>350</v>
      </c>
      <c r="S18" s="5">
        <v>350</v>
      </c>
      <c r="T18" s="5">
        <v>350</v>
      </c>
      <c r="U18" s="5">
        <v>350</v>
      </c>
      <c r="V18" s="5">
        <v>350</v>
      </c>
      <c r="W18" s="5">
        <v>350</v>
      </c>
      <c r="X18" s="5">
        <v>350</v>
      </c>
      <c r="Y18" s="5">
        <v>350</v>
      </c>
    </row>
    <row r="19" spans="1:25">
      <c r="A19" s="5"/>
      <c r="B19" s="8" t="s">
        <v>14</v>
      </c>
      <c r="C19" s="25">
        <v>330</v>
      </c>
      <c r="D19" s="26"/>
      <c r="E19" s="32" t="s">
        <v>63</v>
      </c>
      <c r="F19" s="5">
        <v>350</v>
      </c>
      <c r="G19" s="5">
        <v>350</v>
      </c>
      <c r="H19" s="5">
        <v>350</v>
      </c>
      <c r="I19" s="5">
        <v>350</v>
      </c>
      <c r="J19" s="5">
        <v>350</v>
      </c>
      <c r="K19" s="5">
        <v>350</v>
      </c>
      <c r="L19" s="5">
        <v>350</v>
      </c>
      <c r="M19" s="5">
        <v>350</v>
      </c>
      <c r="N19" s="5">
        <v>350</v>
      </c>
      <c r="O19" s="5">
        <v>350</v>
      </c>
      <c r="P19" s="5">
        <v>350</v>
      </c>
      <c r="Q19" s="5">
        <v>350</v>
      </c>
      <c r="R19" s="5">
        <v>350</v>
      </c>
      <c r="S19" s="5">
        <v>350</v>
      </c>
      <c r="T19" s="5">
        <v>350</v>
      </c>
      <c r="U19" s="5">
        <v>350</v>
      </c>
      <c r="V19" s="5">
        <v>350</v>
      </c>
      <c r="W19" s="5">
        <v>350</v>
      </c>
      <c r="X19" s="5">
        <v>350</v>
      </c>
      <c r="Y19" s="5">
        <v>350</v>
      </c>
    </row>
    <row r="20" spans="1:25">
      <c r="A20" s="5"/>
      <c r="B20" s="8" t="s">
        <v>15</v>
      </c>
      <c r="C20" s="25">
        <v>330</v>
      </c>
      <c r="D20" s="26"/>
      <c r="E20" s="32" t="s">
        <v>64</v>
      </c>
      <c r="F20" s="5">
        <v>350</v>
      </c>
      <c r="G20" s="5">
        <v>350</v>
      </c>
      <c r="H20" s="5">
        <v>350</v>
      </c>
      <c r="I20" s="5">
        <v>350</v>
      </c>
      <c r="J20" s="5">
        <v>350</v>
      </c>
      <c r="K20" s="5">
        <v>350</v>
      </c>
      <c r="L20" s="5">
        <v>350</v>
      </c>
      <c r="M20" s="5">
        <v>350</v>
      </c>
      <c r="N20" s="5">
        <v>350</v>
      </c>
      <c r="O20" s="5">
        <v>350</v>
      </c>
      <c r="P20" s="5">
        <v>350</v>
      </c>
      <c r="Q20" s="5">
        <v>350</v>
      </c>
      <c r="R20" s="5">
        <v>350</v>
      </c>
      <c r="S20" s="5">
        <v>350</v>
      </c>
      <c r="T20" s="5">
        <v>350</v>
      </c>
      <c r="U20" s="5">
        <v>350</v>
      </c>
      <c r="V20" s="5">
        <v>350</v>
      </c>
      <c r="W20" s="5">
        <v>350</v>
      </c>
      <c r="X20" s="5">
        <v>350</v>
      </c>
      <c r="Y20" s="5">
        <v>350</v>
      </c>
    </row>
    <row r="21" spans="1:25">
      <c r="A21" s="5"/>
      <c r="B21" s="8" t="s">
        <v>16</v>
      </c>
      <c r="C21" s="25">
        <v>330</v>
      </c>
      <c r="D21" s="26"/>
      <c r="E21" s="32" t="s">
        <v>65</v>
      </c>
      <c r="F21" s="5">
        <v>350</v>
      </c>
      <c r="G21" s="5">
        <v>350</v>
      </c>
      <c r="H21" s="5">
        <v>350</v>
      </c>
      <c r="I21" s="5">
        <v>350</v>
      </c>
      <c r="J21" s="5">
        <v>350</v>
      </c>
      <c r="K21" s="5">
        <v>350</v>
      </c>
      <c r="L21" s="5">
        <v>350</v>
      </c>
      <c r="M21" s="5">
        <v>350</v>
      </c>
      <c r="N21" s="5">
        <v>350</v>
      </c>
      <c r="O21" s="5">
        <v>350</v>
      </c>
      <c r="P21" s="5">
        <v>350</v>
      </c>
      <c r="Q21" s="5">
        <v>350</v>
      </c>
      <c r="R21" s="5">
        <v>350</v>
      </c>
      <c r="S21" s="5">
        <v>350</v>
      </c>
      <c r="T21" s="5">
        <v>350</v>
      </c>
      <c r="U21" s="5">
        <v>350</v>
      </c>
      <c r="V21" s="5">
        <v>350</v>
      </c>
      <c r="W21" s="5">
        <v>350</v>
      </c>
      <c r="X21" s="5">
        <v>350</v>
      </c>
      <c r="Y21" s="5">
        <v>350</v>
      </c>
    </row>
    <row r="22" spans="1:25">
      <c r="A22" s="5">
        <v>1971</v>
      </c>
      <c r="B22" s="4" t="s">
        <v>5</v>
      </c>
      <c r="C22" s="25">
        <v>330</v>
      </c>
      <c r="D22" s="26"/>
      <c r="E22" s="32" t="s">
        <v>20</v>
      </c>
      <c r="F22" s="5">
        <v>350</v>
      </c>
      <c r="G22" s="5">
        <v>350</v>
      </c>
      <c r="H22" s="5">
        <v>350</v>
      </c>
      <c r="I22" s="5">
        <v>350</v>
      </c>
      <c r="J22" s="5">
        <v>350</v>
      </c>
      <c r="K22" s="5">
        <v>350</v>
      </c>
      <c r="L22" s="5">
        <v>350</v>
      </c>
      <c r="M22" s="5">
        <v>350</v>
      </c>
      <c r="N22" s="5">
        <v>350</v>
      </c>
      <c r="O22" s="5">
        <v>350</v>
      </c>
      <c r="P22" s="5">
        <v>350</v>
      </c>
      <c r="Q22" s="5">
        <v>350</v>
      </c>
      <c r="R22" s="5">
        <v>350</v>
      </c>
      <c r="S22" s="5">
        <v>350</v>
      </c>
      <c r="T22" s="5">
        <v>350</v>
      </c>
      <c r="U22" s="5">
        <v>350</v>
      </c>
      <c r="V22" s="5">
        <v>350</v>
      </c>
      <c r="W22" s="5">
        <v>350</v>
      </c>
      <c r="X22" s="5">
        <v>350</v>
      </c>
      <c r="Y22" s="5">
        <v>350</v>
      </c>
    </row>
    <row r="23" spans="1:25">
      <c r="A23" s="5"/>
      <c r="B23" s="4" t="s">
        <v>6</v>
      </c>
      <c r="C23" s="25">
        <v>330</v>
      </c>
      <c r="D23" s="26"/>
      <c r="E23" s="32" t="s">
        <v>21</v>
      </c>
      <c r="F23" s="5">
        <v>350</v>
      </c>
      <c r="G23" s="5">
        <v>350</v>
      </c>
      <c r="H23" s="5">
        <v>350</v>
      </c>
      <c r="I23" s="5">
        <v>350</v>
      </c>
      <c r="J23" s="5">
        <v>350</v>
      </c>
      <c r="K23" s="5">
        <v>350</v>
      </c>
      <c r="L23" s="5">
        <v>350</v>
      </c>
      <c r="M23" s="5">
        <v>350</v>
      </c>
      <c r="N23" s="5">
        <v>350</v>
      </c>
      <c r="O23" s="5">
        <v>350</v>
      </c>
      <c r="P23" s="5">
        <v>350</v>
      </c>
      <c r="Q23" s="5">
        <v>350</v>
      </c>
      <c r="R23" s="5">
        <v>350</v>
      </c>
      <c r="S23" s="5">
        <v>350</v>
      </c>
      <c r="T23" s="5">
        <v>350</v>
      </c>
      <c r="U23" s="5">
        <v>350</v>
      </c>
      <c r="V23" s="5">
        <v>350</v>
      </c>
      <c r="W23" s="5">
        <v>350</v>
      </c>
      <c r="X23" s="5">
        <v>350</v>
      </c>
      <c r="Y23" s="5">
        <v>350</v>
      </c>
    </row>
    <row r="24" spans="1:25">
      <c r="A24" s="5"/>
      <c r="B24" s="4" t="s">
        <v>7</v>
      </c>
      <c r="C24" s="25">
        <v>330</v>
      </c>
      <c r="D24" s="26"/>
      <c r="E24" s="32" t="s">
        <v>22</v>
      </c>
      <c r="F24" s="5">
        <v>350</v>
      </c>
      <c r="G24" s="5">
        <v>350</v>
      </c>
      <c r="H24" s="5">
        <v>350</v>
      </c>
      <c r="I24" s="5">
        <v>350</v>
      </c>
      <c r="J24" s="5">
        <v>350</v>
      </c>
      <c r="K24" s="5">
        <v>350</v>
      </c>
      <c r="L24" s="5">
        <v>350</v>
      </c>
      <c r="M24" s="5">
        <v>350</v>
      </c>
      <c r="N24" s="5">
        <v>350</v>
      </c>
      <c r="O24" s="5">
        <v>350</v>
      </c>
      <c r="P24" s="5">
        <v>350</v>
      </c>
      <c r="Q24" s="5">
        <v>350</v>
      </c>
      <c r="R24" s="5">
        <v>350</v>
      </c>
      <c r="S24" s="5">
        <v>350</v>
      </c>
      <c r="T24" s="5">
        <v>350</v>
      </c>
      <c r="U24" s="5">
        <v>350</v>
      </c>
      <c r="V24" s="5">
        <v>350</v>
      </c>
      <c r="W24" s="5">
        <v>350</v>
      </c>
      <c r="X24" s="5">
        <v>350</v>
      </c>
      <c r="Y24" s="5">
        <v>350</v>
      </c>
    </row>
    <row r="25" spans="1:25">
      <c r="A25" s="5"/>
      <c r="B25" s="8" t="s">
        <v>8</v>
      </c>
      <c r="C25" s="25">
        <v>330</v>
      </c>
      <c r="D25" s="26"/>
      <c r="E25" s="32" t="s">
        <v>23</v>
      </c>
      <c r="F25" s="5">
        <v>350</v>
      </c>
      <c r="G25" s="5">
        <v>350</v>
      </c>
      <c r="H25" s="5">
        <v>350</v>
      </c>
      <c r="I25" s="5">
        <v>350</v>
      </c>
      <c r="J25" s="5">
        <v>350</v>
      </c>
      <c r="K25" s="5">
        <v>350</v>
      </c>
      <c r="L25" s="5">
        <v>350</v>
      </c>
      <c r="M25" s="5">
        <v>350</v>
      </c>
      <c r="N25" s="5">
        <v>350</v>
      </c>
      <c r="O25" s="5">
        <v>350</v>
      </c>
      <c r="P25" s="5">
        <v>350</v>
      </c>
      <c r="Q25" s="5">
        <v>350</v>
      </c>
      <c r="R25" s="5">
        <v>350</v>
      </c>
      <c r="S25" s="5">
        <v>350</v>
      </c>
      <c r="T25" s="5">
        <v>350</v>
      </c>
      <c r="U25" s="5">
        <v>350</v>
      </c>
      <c r="V25" s="5">
        <v>350</v>
      </c>
      <c r="W25" s="5">
        <v>350</v>
      </c>
      <c r="X25" s="5">
        <v>350</v>
      </c>
      <c r="Y25" s="5">
        <v>350</v>
      </c>
    </row>
    <row r="26" spans="1:25">
      <c r="A26" s="5"/>
      <c r="B26" s="8" t="s">
        <v>9</v>
      </c>
      <c r="C26" s="25">
        <v>330</v>
      </c>
      <c r="D26" s="26"/>
      <c r="E26" s="32" t="s">
        <v>24</v>
      </c>
      <c r="F26" s="5">
        <v>350</v>
      </c>
      <c r="G26" s="5">
        <v>350</v>
      </c>
      <c r="H26" s="5">
        <v>350</v>
      </c>
      <c r="I26" s="5">
        <v>350</v>
      </c>
      <c r="J26" s="5">
        <v>350</v>
      </c>
      <c r="K26" s="5">
        <v>350</v>
      </c>
      <c r="L26" s="5">
        <v>350</v>
      </c>
      <c r="M26" s="5">
        <v>350</v>
      </c>
      <c r="N26" s="5">
        <v>350</v>
      </c>
      <c r="O26" s="5">
        <v>350</v>
      </c>
      <c r="P26" s="5">
        <v>350</v>
      </c>
      <c r="Q26" s="5">
        <v>350</v>
      </c>
      <c r="R26" s="5">
        <v>350</v>
      </c>
      <c r="S26" s="5">
        <v>350</v>
      </c>
      <c r="T26" s="5">
        <v>350</v>
      </c>
      <c r="U26" s="5">
        <v>350</v>
      </c>
      <c r="V26" s="5">
        <v>350</v>
      </c>
      <c r="W26" s="5">
        <v>350</v>
      </c>
      <c r="X26" s="5">
        <v>350</v>
      </c>
      <c r="Y26" s="5">
        <v>350</v>
      </c>
    </row>
    <row r="27" spans="1:25">
      <c r="A27" s="5"/>
      <c r="B27" s="8" t="s">
        <v>10</v>
      </c>
      <c r="C27" s="25">
        <v>330</v>
      </c>
      <c r="D27" s="26"/>
      <c r="E27" s="32" t="s">
        <v>25</v>
      </c>
      <c r="F27" s="5">
        <v>350</v>
      </c>
      <c r="G27" s="5">
        <v>350</v>
      </c>
      <c r="H27" s="5">
        <v>350</v>
      </c>
      <c r="I27" s="5">
        <v>350</v>
      </c>
      <c r="J27" s="5">
        <v>350</v>
      </c>
      <c r="K27" s="5">
        <v>350</v>
      </c>
      <c r="L27" s="5">
        <v>350</v>
      </c>
      <c r="M27" s="5">
        <v>350</v>
      </c>
      <c r="N27" s="5">
        <v>350</v>
      </c>
      <c r="O27" s="5">
        <v>350</v>
      </c>
      <c r="P27" s="5">
        <v>350</v>
      </c>
      <c r="Q27" s="5">
        <v>350</v>
      </c>
      <c r="R27" s="5">
        <v>350</v>
      </c>
      <c r="S27" s="5">
        <v>350</v>
      </c>
      <c r="T27" s="5">
        <v>350</v>
      </c>
      <c r="U27" s="5">
        <v>350</v>
      </c>
      <c r="V27" s="5">
        <v>350</v>
      </c>
      <c r="W27" s="5">
        <v>350</v>
      </c>
      <c r="X27" s="5">
        <v>350</v>
      </c>
      <c r="Y27" s="5">
        <v>350</v>
      </c>
    </row>
    <row r="28" spans="1:25">
      <c r="A28" s="5"/>
      <c r="B28" s="4">
        <v>9</v>
      </c>
      <c r="C28" s="25">
        <v>330</v>
      </c>
      <c r="D28" s="26"/>
      <c r="E28" s="32" t="s">
        <v>26</v>
      </c>
      <c r="F28" s="5">
        <v>350</v>
      </c>
      <c r="G28" s="5">
        <v>350</v>
      </c>
      <c r="H28" s="5">
        <v>350</v>
      </c>
      <c r="I28" s="5">
        <v>350</v>
      </c>
      <c r="J28" s="5">
        <v>350</v>
      </c>
      <c r="K28" s="5">
        <v>350</v>
      </c>
      <c r="L28" s="5">
        <v>350</v>
      </c>
      <c r="M28" s="5">
        <v>350</v>
      </c>
      <c r="N28" s="5">
        <v>350</v>
      </c>
      <c r="O28" s="5">
        <v>350</v>
      </c>
      <c r="P28" s="5">
        <v>350</v>
      </c>
      <c r="Q28" s="5">
        <v>350</v>
      </c>
      <c r="R28" s="5">
        <v>350</v>
      </c>
      <c r="S28" s="5">
        <v>350</v>
      </c>
      <c r="T28" s="5">
        <v>350</v>
      </c>
      <c r="U28" s="5">
        <v>350</v>
      </c>
      <c r="V28" s="5">
        <v>350</v>
      </c>
      <c r="W28" s="5">
        <v>350</v>
      </c>
      <c r="X28" s="5">
        <v>350</v>
      </c>
      <c r="Y28" s="5">
        <v>350</v>
      </c>
    </row>
    <row r="29" spans="1:25">
      <c r="A29" s="5"/>
      <c r="B29" s="4">
        <v>10</v>
      </c>
      <c r="C29" s="25">
        <v>330</v>
      </c>
      <c r="D29" s="26"/>
      <c r="E29" s="32" t="s">
        <v>27</v>
      </c>
      <c r="F29" s="5">
        <v>350</v>
      </c>
      <c r="G29" s="5">
        <v>350</v>
      </c>
      <c r="H29" s="5">
        <v>350</v>
      </c>
      <c r="I29" s="5">
        <v>350</v>
      </c>
      <c r="J29" s="5">
        <v>350</v>
      </c>
      <c r="K29" s="5">
        <v>350</v>
      </c>
      <c r="L29" s="5">
        <v>350</v>
      </c>
      <c r="M29" s="5">
        <v>350</v>
      </c>
      <c r="N29" s="5">
        <v>350</v>
      </c>
      <c r="O29" s="5">
        <v>350</v>
      </c>
      <c r="P29" s="5">
        <v>350</v>
      </c>
      <c r="Q29" s="5">
        <v>350</v>
      </c>
      <c r="R29" s="5">
        <v>350</v>
      </c>
      <c r="S29" s="5">
        <v>350</v>
      </c>
      <c r="T29" s="5">
        <v>350</v>
      </c>
      <c r="U29" s="5">
        <v>350</v>
      </c>
      <c r="V29" s="5">
        <v>350</v>
      </c>
      <c r="W29" s="5">
        <v>350</v>
      </c>
      <c r="X29" s="5">
        <v>350</v>
      </c>
      <c r="Y29" s="5">
        <v>350</v>
      </c>
    </row>
    <row r="30" spans="1:25">
      <c r="A30" s="5"/>
      <c r="B30" s="4">
        <v>11</v>
      </c>
      <c r="C30" s="25">
        <v>330</v>
      </c>
      <c r="D30" s="26"/>
      <c r="E30" s="32" t="s">
        <v>28</v>
      </c>
      <c r="F30" s="5">
        <v>350</v>
      </c>
      <c r="G30" s="5">
        <v>350</v>
      </c>
      <c r="H30" s="5">
        <v>350</v>
      </c>
      <c r="I30" s="5">
        <v>350</v>
      </c>
      <c r="J30" s="5">
        <v>350</v>
      </c>
      <c r="K30" s="5">
        <v>350</v>
      </c>
      <c r="L30" s="5">
        <v>350</v>
      </c>
      <c r="M30" s="5">
        <v>350</v>
      </c>
      <c r="N30" s="5">
        <v>350</v>
      </c>
      <c r="O30" s="5">
        <v>350</v>
      </c>
      <c r="P30" s="5">
        <v>350</v>
      </c>
      <c r="Q30" s="5">
        <v>350</v>
      </c>
      <c r="R30" s="5">
        <v>350</v>
      </c>
      <c r="S30" s="5">
        <v>350</v>
      </c>
      <c r="T30" s="5">
        <v>350</v>
      </c>
      <c r="U30" s="5">
        <v>350</v>
      </c>
      <c r="V30" s="5">
        <v>350</v>
      </c>
      <c r="W30" s="5">
        <v>350</v>
      </c>
      <c r="X30" s="5">
        <v>350</v>
      </c>
      <c r="Y30" s="5">
        <v>350</v>
      </c>
    </row>
    <row r="31" spans="1:25">
      <c r="A31" s="5"/>
      <c r="B31" s="4">
        <v>12</v>
      </c>
      <c r="C31" s="25">
        <v>330</v>
      </c>
      <c r="D31" s="26"/>
      <c r="E31" s="32" t="s">
        <v>29</v>
      </c>
      <c r="F31" s="5">
        <v>350</v>
      </c>
      <c r="G31" s="5">
        <v>350</v>
      </c>
      <c r="H31" s="5">
        <v>350</v>
      </c>
      <c r="I31" s="5">
        <v>350</v>
      </c>
      <c r="J31" s="5">
        <v>350</v>
      </c>
      <c r="K31" s="5">
        <v>350</v>
      </c>
      <c r="L31" s="5">
        <v>350</v>
      </c>
      <c r="M31" s="5">
        <v>350</v>
      </c>
      <c r="N31" s="5">
        <v>350</v>
      </c>
      <c r="O31" s="5">
        <v>350</v>
      </c>
      <c r="P31" s="5">
        <v>350</v>
      </c>
      <c r="Q31" s="5">
        <v>350</v>
      </c>
      <c r="R31" s="5">
        <v>350</v>
      </c>
      <c r="S31" s="5">
        <v>350</v>
      </c>
      <c r="T31" s="5">
        <v>350</v>
      </c>
      <c r="U31" s="5">
        <v>350</v>
      </c>
      <c r="V31" s="5">
        <v>350</v>
      </c>
      <c r="W31" s="5">
        <v>350</v>
      </c>
      <c r="X31" s="5">
        <v>350</v>
      </c>
      <c r="Y31" s="5">
        <v>350</v>
      </c>
    </row>
    <row r="32" spans="1:25">
      <c r="A32" s="5"/>
      <c r="B32" s="4">
        <v>1</v>
      </c>
      <c r="C32" s="25">
        <v>330</v>
      </c>
      <c r="D32" s="26"/>
      <c r="E32" s="32" t="s">
        <v>30</v>
      </c>
      <c r="F32" s="5">
        <v>350</v>
      </c>
      <c r="G32" s="5">
        <v>350</v>
      </c>
      <c r="H32" s="5">
        <v>350</v>
      </c>
      <c r="I32" s="5">
        <v>350</v>
      </c>
      <c r="J32" s="5">
        <v>350</v>
      </c>
      <c r="K32" s="5">
        <v>350</v>
      </c>
      <c r="L32" s="5">
        <v>350</v>
      </c>
      <c r="M32" s="5">
        <v>350</v>
      </c>
      <c r="N32" s="5">
        <v>350</v>
      </c>
      <c r="O32" s="5">
        <v>350</v>
      </c>
      <c r="P32" s="5">
        <v>350</v>
      </c>
      <c r="Q32" s="5">
        <v>350</v>
      </c>
      <c r="R32" s="5">
        <v>350</v>
      </c>
      <c r="S32" s="5">
        <v>350</v>
      </c>
      <c r="T32" s="5">
        <v>350</v>
      </c>
      <c r="U32" s="5">
        <v>350</v>
      </c>
      <c r="V32" s="5">
        <v>350</v>
      </c>
      <c r="W32" s="5">
        <v>350</v>
      </c>
      <c r="X32" s="5">
        <v>350</v>
      </c>
      <c r="Y32" s="5">
        <v>350</v>
      </c>
    </row>
    <row r="33" spans="1:25">
      <c r="A33" s="5"/>
      <c r="B33" s="4">
        <v>2</v>
      </c>
      <c r="C33" s="25">
        <v>330</v>
      </c>
      <c r="D33" s="26"/>
      <c r="E33" s="32" t="s">
        <v>31</v>
      </c>
      <c r="F33" s="5">
        <v>350</v>
      </c>
      <c r="G33" s="5">
        <v>350</v>
      </c>
      <c r="H33" s="5">
        <v>350</v>
      </c>
      <c r="I33" s="5">
        <v>350</v>
      </c>
      <c r="J33" s="5">
        <v>350</v>
      </c>
      <c r="K33" s="5">
        <v>350</v>
      </c>
      <c r="L33" s="5">
        <v>350</v>
      </c>
      <c r="M33" s="5">
        <v>350</v>
      </c>
      <c r="N33" s="5">
        <v>350</v>
      </c>
      <c r="O33" s="5">
        <v>350</v>
      </c>
      <c r="P33" s="5">
        <v>350</v>
      </c>
      <c r="Q33" s="5">
        <v>350</v>
      </c>
      <c r="R33" s="5">
        <v>350</v>
      </c>
      <c r="S33" s="5">
        <v>350</v>
      </c>
      <c r="T33" s="5">
        <v>350</v>
      </c>
      <c r="U33" s="5">
        <v>350</v>
      </c>
      <c r="V33" s="5">
        <v>350</v>
      </c>
      <c r="W33" s="5">
        <v>350</v>
      </c>
      <c r="X33" s="5">
        <v>350</v>
      </c>
      <c r="Y33" s="5">
        <v>350</v>
      </c>
    </row>
    <row r="34" spans="1:25">
      <c r="A34" s="5"/>
      <c r="B34" s="4">
        <v>3</v>
      </c>
      <c r="C34" s="25">
        <v>330</v>
      </c>
      <c r="D34" s="26"/>
      <c r="E34" s="32" t="s">
        <v>32</v>
      </c>
      <c r="F34" s="5">
        <v>350</v>
      </c>
      <c r="G34" s="5">
        <v>350</v>
      </c>
      <c r="H34" s="5">
        <v>350</v>
      </c>
      <c r="I34" s="5">
        <v>350</v>
      </c>
      <c r="J34" s="5">
        <v>350</v>
      </c>
      <c r="K34" s="5">
        <v>350</v>
      </c>
      <c r="L34" s="5">
        <v>350</v>
      </c>
      <c r="M34" s="5">
        <v>350</v>
      </c>
      <c r="N34" s="5">
        <v>350</v>
      </c>
      <c r="O34" s="5">
        <v>350</v>
      </c>
      <c r="P34" s="5">
        <v>350</v>
      </c>
      <c r="Q34" s="5">
        <v>350</v>
      </c>
      <c r="R34" s="5">
        <v>350</v>
      </c>
      <c r="S34" s="5">
        <v>350</v>
      </c>
      <c r="T34" s="5">
        <v>350</v>
      </c>
      <c r="U34" s="5">
        <v>350</v>
      </c>
      <c r="V34" s="5">
        <v>350</v>
      </c>
      <c r="W34" s="5">
        <v>350</v>
      </c>
      <c r="X34" s="5">
        <v>350</v>
      </c>
      <c r="Y34" s="5">
        <v>350</v>
      </c>
    </row>
    <row r="35" spans="1:25">
      <c r="A35" s="5"/>
      <c r="B35" s="4">
        <v>4</v>
      </c>
      <c r="C35" s="25">
        <v>330</v>
      </c>
      <c r="D35" s="26"/>
      <c r="E35" s="32" t="s">
        <v>33</v>
      </c>
      <c r="F35" s="5">
        <v>350</v>
      </c>
      <c r="G35" s="5">
        <v>350</v>
      </c>
      <c r="H35" s="5">
        <v>350</v>
      </c>
      <c r="I35" s="5">
        <v>350</v>
      </c>
      <c r="J35" s="5">
        <v>350</v>
      </c>
      <c r="K35" s="5">
        <v>350</v>
      </c>
      <c r="L35" s="5">
        <v>350</v>
      </c>
      <c r="M35" s="5">
        <v>350</v>
      </c>
      <c r="N35" s="5">
        <v>350</v>
      </c>
      <c r="O35" s="5">
        <v>350</v>
      </c>
      <c r="P35" s="5">
        <v>350</v>
      </c>
      <c r="Q35" s="5">
        <v>350</v>
      </c>
      <c r="R35" s="5">
        <v>350</v>
      </c>
      <c r="S35" s="5">
        <v>350</v>
      </c>
      <c r="T35" s="5">
        <v>350</v>
      </c>
      <c r="U35" s="5">
        <v>350</v>
      </c>
      <c r="V35" s="5">
        <v>350</v>
      </c>
      <c r="W35" s="5">
        <v>350</v>
      </c>
      <c r="X35" s="5">
        <v>350</v>
      </c>
      <c r="Y35" s="5">
        <v>350</v>
      </c>
    </row>
    <row r="36" spans="1:25">
      <c r="A36" s="5"/>
      <c r="B36" s="8" t="s">
        <v>11</v>
      </c>
      <c r="C36" s="25">
        <v>330</v>
      </c>
      <c r="D36" s="26"/>
      <c r="E36" s="32" t="s">
        <v>34</v>
      </c>
      <c r="F36" s="5">
        <v>350</v>
      </c>
      <c r="G36" s="5">
        <v>350</v>
      </c>
      <c r="H36" s="5">
        <v>350</v>
      </c>
      <c r="I36" s="5">
        <v>350</v>
      </c>
      <c r="J36" s="5">
        <v>350</v>
      </c>
      <c r="K36" s="5">
        <v>350</v>
      </c>
      <c r="L36" s="5">
        <v>350</v>
      </c>
      <c r="M36" s="5">
        <v>350</v>
      </c>
      <c r="N36" s="5">
        <v>350</v>
      </c>
      <c r="O36" s="5">
        <v>350</v>
      </c>
      <c r="P36" s="5">
        <v>350</v>
      </c>
      <c r="Q36" s="5">
        <v>350</v>
      </c>
      <c r="R36" s="5">
        <v>350</v>
      </c>
      <c r="S36" s="5">
        <v>350</v>
      </c>
      <c r="T36" s="5">
        <v>350</v>
      </c>
      <c r="U36" s="5">
        <v>350</v>
      </c>
      <c r="V36" s="5">
        <v>350</v>
      </c>
      <c r="W36" s="5">
        <v>350</v>
      </c>
      <c r="X36" s="5">
        <v>350</v>
      </c>
      <c r="Y36" s="5">
        <v>350</v>
      </c>
    </row>
    <row r="37" spans="1:25">
      <c r="A37" s="5"/>
      <c r="B37" s="8" t="s">
        <v>12</v>
      </c>
      <c r="C37" s="25">
        <v>330</v>
      </c>
      <c r="D37" s="26"/>
      <c r="E37" s="32" t="s">
        <v>35</v>
      </c>
      <c r="F37" s="5">
        <v>350</v>
      </c>
      <c r="G37" s="5">
        <v>350</v>
      </c>
      <c r="H37" s="5">
        <v>350</v>
      </c>
      <c r="I37" s="5">
        <v>350</v>
      </c>
      <c r="J37" s="5">
        <v>350</v>
      </c>
      <c r="K37" s="5">
        <v>350</v>
      </c>
      <c r="L37" s="5">
        <v>350</v>
      </c>
      <c r="M37" s="5">
        <v>350</v>
      </c>
      <c r="N37" s="5">
        <v>350</v>
      </c>
      <c r="O37" s="5">
        <v>350</v>
      </c>
      <c r="P37" s="5">
        <v>350</v>
      </c>
      <c r="Q37" s="5">
        <v>350</v>
      </c>
      <c r="R37" s="5">
        <v>350</v>
      </c>
      <c r="S37" s="5">
        <v>350</v>
      </c>
      <c r="T37" s="5">
        <v>350</v>
      </c>
      <c r="U37" s="5">
        <v>350</v>
      </c>
      <c r="V37" s="5">
        <v>350</v>
      </c>
      <c r="W37" s="5">
        <v>350</v>
      </c>
      <c r="X37" s="5">
        <v>350</v>
      </c>
      <c r="Y37" s="5">
        <v>350</v>
      </c>
    </row>
    <row r="38" spans="1:25">
      <c r="A38" s="5"/>
      <c r="B38" s="8" t="s">
        <v>13</v>
      </c>
      <c r="C38" s="25">
        <v>330</v>
      </c>
      <c r="D38" s="26"/>
      <c r="E38" s="32" t="s">
        <v>36</v>
      </c>
      <c r="F38" s="5">
        <v>350</v>
      </c>
      <c r="G38" s="5">
        <v>350</v>
      </c>
      <c r="H38" s="5">
        <v>350</v>
      </c>
      <c r="I38" s="5">
        <v>350</v>
      </c>
      <c r="J38" s="5">
        <v>350</v>
      </c>
      <c r="K38" s="5">
        <v>350</v>
      </c>
      <c r="L38" s="5">
        <v>350</v>
      </c>
      <c r="M38" s="5">
        <v>350</v>
      </c>
      <c r="N38" s="5">
        <v>350</v>
      </c>
      <c r="O38" s="5">
        <v>350</v>
      </c>
      <c r="P38" s="5">
        <v>350</v>
      </c>
      <c r="Q38" s="5">
        <v>350</v>
      </c>
      <c r="R38" s="5">
        <v>350</v>
      </c>
      <c r="S38" s="5">
        <v>350</v>
      </c>
      <c r="T38" s="5">
        <v>350</v>
      </c>
      <c r="U38" s="5">
        <v>350</v>
      </c>
      <c r="V38" s="5">
        <v>350</v>
      </c>
      <c r="W38" s="5">
        <v>350</v>
      </c>
      <c r="X38" s="5">
        <v>350</v>
      </c>
      <c r="Y38" s="5">
        <v>350</v>
      </c>
    </row>
    <row r="39" spans="1:25">
      <c r="A39" s="5"/>
      <c r="B39" s="8" t="s">
        <v>14</v>
      </c>
      <c r="C39" s="25">
        <v>330</v>
      </c>
      <c r="D39" s="26"/>
      <c r="E39" s="32" t="s">
        <v>37</v>
      </c>
      <c r="F39" s="5">
        <v>350</v>
      </c>
      <c r="G39" s="5">
        <v>350</v>
      </c>
      <c r="H39" s="5">
        <v>350</v>
      </c>
      <c r="I39" s="5">
        <v>350</v>
      </c>
      <c r="J39" s="5">
        <v>350</v>
      </c>
      <c r="K39" s="5">
        <v>350</v>
      </c>
      <c r="L39" s="5">
        <v>350</v>
      </c>
      <c r="M39" s="5">
        <v>350</v>
      </c>
      <c r="N39" s="5">
        <v>350</v>
      </c>
      <c r="O39" s="5">
        <v>350</v>
      </c>
      <c r="P39" s="5">
        <v>350</v>
      </c>
      <c r="Q39" s="5">
        <v>350</v>
      </c>
      <c r="R39" s="5">
        <v>350</v>
      </c>
      <c r="S39" s="5">
        <v>350</v>
      </c>
      <c r="T39" s="5">
        <v>350</v>
      </c>
      <c r="U39" s="5">
        <v>350</v>
      </c>
      <c r="V39" s="5">
        <v>350</v>
      </c>
      <c r="W39" s="5">
        <v>350</v>
      </c>
      <c r="X39" s="5">
        <v>350</v>
      </c>
      <c r="Y39" s="5">
        <v>350</v>
      </c>
    </row>
    <row r="40" spans="1:25">
      <c r="A40" s="5"/>
      <c r="B40" s="8" t="s">
        <v>15</v>
      </c>
      <c r="C40" s="25">
        <v>330</v>
      </c>
      <c r="D40" s="26"/>
      <c r="E40" s="32" t="s">
        <v>38</v>
      </c>
      <c r="F40" s="5">
        <v>350</v>
      </c>
      <c r="G40" s="5">
        <v>350</v>
      </c>
      <c r="H40" s="5">
        <v>350</v>
      </c>
      <c r="I40" s="5">
        <v>350</v>
      </c>
      <c r="J40" s="5">
        <v>350</v>
      </c>
      <c r="K40" s="5">
        <v>350</v>
      </c>
      <c r="L40" s="5">
        <v>350</v>
      </c>
      <c r="M40" s="5">
        <v>350</v>
      </c>
      <c r="N40" s="5">
        <v>350</v>
      </c>
      <c r="O40" s="5">
        <v>350</v>
      </c>
      <c r="P40" s="5">
        <v>350</v>
      </c>
      <c r="Q40" s="5">
        <v>350</v>
      </c>
      <c r="R40" s="5">
        <v>350</v>
      </c>
      <c r="S40" s="5">
        <v>350</v>
      </c>
      <c r="T40" s="5">
        <v>350</v>
      </c>
      <c r="U40" s="5">
        <v>350</v>
      </c>
      <c r="V40" s="5">
        <v>350</v>
      </c>
      <c r="W40" s="5">
        <v>350</v>
      </c>
      <c r="X40" s="5">
        <v>350</v>
      </c>
      <c r="Y40" s="5">
        <v>350</v>
      </c>
    </row>
    <row r="41" spans="1:25">
      <c r="A41" s="5"/>
      <c r="B41" s="8" t="s">
        <v>16</v>
      </c>
      <c r="C41" s="25">
        <v>330</v>
      </c>
      <c r="D41" s="26"/>
      <c r="E41" s="32" t="s">
        <v>39</v>
      </c>
      <c r="F41" s="5">
        <v>350</v>
      </c>
      <c r="G41" s="5">
        <v>350</v>
      </c>
      <c r="H41" s="5">
        <v>350</v>
      </c>
      <c r="I41" s="5">
        <v>350</v>
      </c>
      <c r="J41" s="5">
        <v>350</v>
      </c>
      <c r="K41" s="5">
        <v>350</v>
      </c>
      <c r="L41" s="5">
        <v>350</v>
      </c>
      <c r="M41" s="5">
        <v>350</v>
      </c>
      <c r="N41" s="5">
        <v>350</v>
      </c>
      <c r="O41" s="5">
        <v>350</v>
      </c>
      <c r="P41" s="5">
        <v>350</v>
      </c>
      <c r="Q41" s="5">
        <v>350</v>
      </c>
      <c r="R41" s="5">
        <v>350</v>
      </c>
      <c r="S41" s="5">
        <v>350</v>
      </c>
      <c r="T41" s="5">
        <v>350</v>
      </c>
      <c r="U41" s="5">
        <v>350</v>
      </c>
      <c r="V41" s="5">
        <v>350</v>
      </c>
      <c r="W41" s="5">
        <v>350</v>
      </c>
      <c r="X41" s="5">
        <v>350</v>
      </c>
      <c r="Y41" s="5">
        <v>350</v>
      </c>
    </row>
    <row r="42" spans="1:25">
      <c r="A42" s="5">
        <v>1972</v>
      </c>
      <c r="B42" s="4" t="s">
        <v>5</v>
      </c>
      <c r="C42" s="25">
        <v>330</v>
      </c>
      <c r="D42" s="26"/>
      <c r="E42" s="32" t="s">
        <v>40</v>
      </c>
      <c r="F42" s="5">
        <v>350</v>
      </c>
      <c r="G42" s="5">
        <v>350</v>
      </c>
      <c r="H42" s="5">
        <v>350</v>
      </c>
      <c r="I42" s="5">
        <v>350</v>
      </c>
      <c r="J42" s="5">
        <v>350</v>
      </c>
      <c r="K42" s="5">
        <v>350</v>
      </c>
      <c r="L42" s="5">
        <v>350</v>
      </c>
      <c r="M42" s="5">
        <v>350</v>
      </c>
      <c r="N42" s="5">
        <v>350</v>
      </c>
      <c r="O42" s="5">
        <v>350</v>
      </c>
      <c r="P42" s="5">
        <v>350</v>
      </c>
      <c r="Q42" s="5">
        <v>350</v>
      </c>
      <c r="R42" s="5">
        <v>350</v>
      </c>
      <c r="S42" s="5">
        <v>350</v>
      </c>
      <c r="T42" s="5">
        <v>350</v>
      </c>
      <c r="U42" s="5">
        <v>350</v>
      </c>
      <c r="V42" s="5">
        <v>350</v>
      </c>
      <c r="W42" s="5">
        <v>350</v>
      </c>
      <c r="X42" s="5">
        <v>350</v>
      </c>
      <c r="Y42" s="5">
        <v>350</v>
      </c>
    </row>
    <row r="43" spans="1:25">
      <c r="A43" s="5"/>
      <c r="B43" s="4" t="s">
        <v>6</v>
      </c>
      <c r="C43" s="25">
        <v>330</v>
      </c>
      <c r="D43" s="26"/>
      <c r="E43" s="32" t="s">
        <v>41</v>
      </c>
      <c r="F43" s="5">
        <v>350</v>
      </c>
      <c r="G43" s="5">
        <v>350</v>
      </c>
      <c r="H43" s="5">
        <v>350</v>
      </c>
      <c r="I43" s="5">
        <v>350</v>
      </c>
      <c r="J43" s="5">
        <v>350</v>
      </c>
      <c r="K43" s="5">
        <v>350</v>
      </c>
      <c r="L43" s="5">
        <v>350</v>
      </c>
      <c r="M43" s="5">
        <v>350</v>
      </c>
      <c r="N43" s="5">
        <v>350</v>
      </c>
      <c r="O43" s="5">
        <v>350</v>
      </c>
      <c r="P43" s="5">
        <v>350</v>
      </c>
      <c r="Q43" s="5">
        <v>350</v>
      </c>
      <c r="R43" s="5">
        <v>350</v>
      </c>
      <c r="S43" s="5">
        <v>350</v>
      </c>
      <c r="T43" s="5">
        <v>350</v>
      </c>
      <c r="U43" s="5">
        <v>350</v>
      </c>
      <c r="V43" s="5">
        <v>350</v>
      </c>
      <c r="W43" s="5">
        <v>350</v>
      </c>
      <c r="X43" s="5">
        <v>350</v>
      </c>
      <c r="Y43" s="5">
        <v>350</v>
      </c>
    </row>
    <row r="44" spans="1:25">
      <c r="A44" s="5"/>
      <c r="B44" s="4" t="s">
        <v>7</v>
      </c>
      <c r="C44" s="25">
        <v>330</v>
      </c>
      <c r="D44" s="26"/>
      <c r="E44" s="32" t="s">
        <v>42</v>
      </c>
      <c r="F44" s="5">
        <v>350</v>
      </c>
      <c r="G44" s="5">
        <v>350</v>
      </c>
      <c r="H44" s="5">
        <v>350</v>
      </c>
      <c r="I44" s="5">
        <v>350</v>
      </c>
      <c r="J44" s="5">
        <v>350</v>
      </c>
      <c r="K44" s="5">
        <v>350</v>
      </c>
      <c r="L44" s="5">
        <v>350</v>
      </c>
      <c r="M44" s="5">
        <v>350</v>
      </c>
      <c r="N44" s="5">
        <v>350</v>
      </c>
      <c r="O44" s="5">
        <v>350</v>
      </c>
      <c r="P44" s="5">
        <v>350</v>
      </c>
      <c r="Q44" s="5">
        <v>350</v>
      </c>
      <c r="R44" s="5">
        <v>350</v>
      </c>
      <c r="S44" s="5">
        <v>350</v>
      </c>
      <c r="T44" s="5">
        <v>350</v>
      </c>
      <c r="U44" s="5">
        <v>350</v>
      </c>
      <c r="V44" s="5">
        <v>350</v>
      </c>
      <c r="W44" s="5">
        <v>350</v>
      </c>
      <c r="X44" s="5">
        <v>350</v>
      </c>
      <c r="Y44" s="5">
        <v>350</v>
      </c>
    </row>
    <row r="45" spans="1:25">
      <c r="A45" s="5"/>
      <c r="B45" s="8" t="s">
        <v>8</v>
      </c>
      <c r="C45" s="25">
        <v>330</v>
      </c>
      <c r="D45" s="26"/>
      <c r="E45" s="32" t="s">
        <v>43</v>
      </c>
      <c r="F45" s="5">
        <v>350</v>
      </c>
      <c r="G45" s="5">
        <v>350</v>
      </c>
      <c r="H45" s="5">
        <v>350</v>
      </c>
      <c r="I45" s="5">
        <v>350</v>
      </c>
      <c r="J45" s="5">
        <v>350</v>
      </c>
      <c r="K45" s="5">
        <v>350</v>
      </c>
      <c r="L45" s="5">
        <v>350</v>
      </c>
      <c r="M45" s="5">
        <v>350</v>
      </c>
      <c r="N45" s="5">
        <v>350</v>
      </c>
      <c r="O45" s="5">
        <v>350</v>
      </c>
      <c r="P45" s="5">
        <v>350</v>
      </c>
      <c r="Q45" s="5">
        <v>350</v>
      </c>
      <c r="R45" s="5">
        <v>350</v>
      </c>
      <c r="S45" s="5">
        <v>350</v>
      </c>
      <c r="T45" s="5">
        <v>350</v>
      </c>
      <c r="U45" s="5">
        <v>350</v>
      </c>
      <c r="V45" s="5">
        <v>350</v>
      </c>
      <c r="W45" s="5">
        <v>350</v>
      </c>
      <c r="X45" s="5">
        <v>350</v>
      </c>
      <c r="Y45" s="5">
        <v>350</v>
      </c>
    </row>
    <row r="46" spans="1:25">
      <c r="A46" s="5"/>
      <c r="B46" s="8" t="s">
        <v>9</v>
      </c>
      <c r="C46" s="25">
        <v>330</v>
      </c>
      <c r="D46" s="26"/>
      <c r="E46" s="32" t="s">
        <v>44</v>
      </c>
      <c r="F46" s="5">
        <v>350</v>
      </c>
      <c r="G46" s="5">
        <v>350</v>
      </c>
      <c r="H46" s="5">
        <v>350</v>
      </c>
      <c r="I46" s="5">
        <v>350</v>
      </c>
      <c r="J46" s="5">
        <v>350</v>
      </c>
      <c r="K46" s="5">
        <v>350</v>
      </c>
      <c r="L46" s="5">
        <v>350</v>
      </c>
      <c r="M46" s="5">
        <v>350</v>
      </c>
      <c r="N46" s="5">
        <v>350</v>
      </c>
      <c r="O46" s="5">
        <v>350</v>
      </c>
      <c r="P46" s="5">
        <v>350</v>
      </c>
      <c r="Q46" s="5">
        <v>350</v>
      </c>
      <c r="R46" s="5">
        <v>350</v>
      </c>
      <c r="S46" s="5">
        <v>350</v>
      </c>
      <c r="T46" s="5">
        <v>350</v>
      </c>
      <c r="U46" s="5">
        <v>350</v>
      </c>
      <c r="V46" s="5">
        <v>350</v>
      </c>
      <c r="W46" s="5">
        <v>350</v>
      </c>
      <c r="X46" s="5">
        <v>350</v>
      </c>
      <c r="Y46" s="5">
        <v>350</v>
      </c>
    </row>
    <row r="47" spans="1:25">
      <c r="A47" s="5"/>
      <c r="B47" s="8" t="s">
        <v>10</v>
      </c>
      <c r="C47" s="25">
        <v>330</v>
      </c>
      <c r="D47" s="26"/>
      <c r="E47" s="32" t="s">
        <v>45</v>
      </c>
      <c r="F47" s="5">
        <v>350</v>
      </c>
      <c r="G47" s="5">
        <v>350</v>
      </c>
      <c r="H47" s="5">
        <v>350</v>
      </c>
      <c r="I47" s="5">
        <v>350</v>
      </c>
      <c r="J47" s="5">
        <v>350</v>
      </c>
      <c r="K47" s="5">
        <v>350</v>
      </c>
      <c r="L47" s="5">
        <v>350</v>
      </c>
      <c r="M47" s="5">
        <v>350</v>
      </c>
      <c r="N47" s="5">
        <v>350</v>
      </c>
      <c r="O47" s="5">
        <v>350</v>
      </c>
      <c r="P47" s="5">
        <v>350</v>
      </c>
      <c r="Q47" s="5">
        <v>350</v>
      </c>
      <c r="R47" s="5">
        <v>350</v>
      </c>
      <c r="S47" s="5">
        <v>350</v>
      </c>
      <c r="T47" s="5">
        <v>350</v>
      </c>
      <c r="U47" s="5">
        <v>350</v>
      </c>
      <c r="V47" s="5">
        <v>350</v>
      </c>
      <c r="W47" s="5">
        <v>350</v>
      </c>
      <c r="X47" s="5">
        <v>350</v>
      </c>
      <c r="Y47" s="5">
        <v>350</v>
      </c>
    </row>
    <row r="48" spans="1:25">
      <c r="A48" s="5"/>
      <c r="B48" s="4">
        <v>9</v>
      </c>
      <c r="C48" s="25">
        <v>330</v>
      </c>
      <c r="D48" s="26"/>
      <c r="E48" s="32" t="s">
        <v>119</v>
      </c>
      <c r="F48" s="5">
        <v>350</v>
      </c>
      <c r="G48" s="5">
        <v>350</v>
      </c>
      <c r="H48" s="5">
        <v>350</v>
      </c>
      <c r="I48" s="5">
        <v>350</v>
      </c>
      <c r="J48" s="5">
        <v>350</v>
      </c>
      <c r="K48" s="5">
        <v>350</v>
      </c>
      <c r="L48" s="5">
        <v>350</v>
      </c>
      <c r="M48" s="5">
        <v>350</v>
      </c>
      <c r="N48" s="5">
        <v>350</v>
      </c>
      <c r="O48" s="5">
        <v>350</v>
      </c>
      <c r="P48" s="5">
        <v>350</v>
      </c>
      <c r="Q48" s="5">
        <v>350</v>
      </c>
      <c r="R48" s="5">
        <v>350</v>
      </c>
      <c r="S48" s="5">
        <v>350</v>
      </c>
      <c r="T48" s="5">
        <v>350</v>
      </c>
      <c r="U48" s="5">
        <v>350</v>
      </c>
      <c r="V48" s="5">
        <v>350</v>
      </c>
      <c r="W48" s="5">
        <v>350</v>
      </c>
      <c r="X48" s="5">
        <v>350</v>
      </c>
      <c r="Y48" s="5">
        <v>350</v>
      </c>
    </row>
    <row r="49" spans="1:25">
      <c r="A49" s="5"/>
      <c r="B49" s="4">
        <v>10</v>
      </c>
      <c r="C49" s="25">
        <v>330</v>
      </c>
      <c r="D49" s="26"/>
      <c r="E49" s="32" t="s">
        <v>120</v>
      </c>
      <c r="F49" s="5">
        <v>350</v>
      </c>
      <c r="G49" s="5">
        <v>350</v>
      </c>
      <c r="H49" s="5">
        <v>350</v>
      </c>
      <c r="I49" s="5">
        <v>350</v>
      </c>
      <c r="J49" s="5">
        <v>350</v>
      </c>
      <c r="K49" s="5">
        <v>350</v>
      </c>
      <c r="L49" s="5">
        <v>350</v>
      </c>
      <c r="M49" s="5">
        <v>350</v>
      </c>
      <c r="N49" s="5">
        <v>350</v>
      </c>
      <c r="O49" s="5">
        <v>350</v>
      </c>
      <c r="P49" s="5">
        <v>350</v>
      </c>
      <c r="Q49" s="5">
        <v>350</v>
      </c>
      <c r="R49" s="5">
        <v>350</v>
      </c>
      <c r="S49" s="5">
        <v>350</v>
      </c>
      <c r="T49" s="5">
        <v>350</v>
      </c>
      <c r="U49" s="5">
        <v>350</v>
      </c>
      <c r="V49" s="5">
        <v>350</v>
      </c>
      <c r="W49" s="5">
        <v>350</v>
      </c>
      <c r="X49" s="5">
        <v>350</v>
      </c>
      <c r="Y49" s="5">
        <v>350</v>
      </c>
    </row>
    <row r="50" spans="1:25">
      <c r="A50" s="5"/>
      <c r="B50" s="4">
        <v>11</v>
      </c>
      <c r="C50" s="25">
        <v>330</v>
      </c>
      <c r="D50" s="26"/>
      <c r="E50" s="32" t="s">
        <v>121</v>
      </c>
      <c r="F50" s="5">
        <v>350</v>
      </c>
      <c r="G50" s="5">
        <v>350</v>
      </c>
      <c r="H50" s="5">
        <v>350</v>
      </c>
      <c r="I50" s="5">
        <v>350</v>
      </c>
      <c r="J50" s="5">
        <v>350</v>
      </c>
      <c r="K50" s="5">
        <v>350</v>
      </c>
      <c r="L50" s="5">
        <v>350</v>
      </c>
      <c r="M50" s="5">
        <v>350</v>
      </c>
      <c r="N50" s="5">
        <v>350</v>
      </c>
      <c r="O50" s="5">
        <v>350</v>
      </c>
      <c r="P50" s="5">
        <v>350</v>
      </c>
      <c r="Q50" s="5">
        <v>350</v>
      </c>
      <c r="R50" s="5">
        <v>350</v>
      </c>
      <c r="S50" s="5">
        <v>350</v>
      </c>
      <c r="T50" s="5">
        <v>350</v>
      </c>
      <c r="U50" s="5">
        <v>350</v>
      </c>
      <c r="V50" s="5">
        <v>350</v>
      </c>
      <c r="W50" s="5">
        <v>350</v>
      </c>
      <c r="X50" s="5">
        <v>350</v>
      </c>
      <c r="Y50" s="5">
        <v>350</v>
      </c>
    </row>
    <row r="51" spans="1:25">
      <c r="A51" s="5"/>
      <c r="B51" s="4">
        <v>12</v>
      </c>
      <c r="C51" s="25">
        <v>330</v>
      </c>
      <c r="D51" s="26"/>
      <c r="E51" s="32" t="s">
        <v>122</v>
      </c>
      <c r="F51" s="5">
        <v>350</v>
      </c>
      <c r="G51" s="5">
        <v>350</v>
      </c>
      <c r="H51" s="5">
        <v>350</v>
      </c>
      <c r="I51" s="5">
        <v>350</v>
      </c>
      <c r="J51" s="5">
        <v>350</v>
      </c>
      <c r="K51" s="5">
        <v>350</v>
      </c>
      <c r="L51" s="5">
        <v>350</v>
      </c>
      <c r="M51" s="5">
        <v>350</v>
      </c>
      <c r="N51" s="5">
        <v>350</v>
      </c>
      <c r="O51" s="5">
        <v>350</v>
      </c>
      <c r="P51" s="5">
        <v>350</v>
      </c>
      <c r="Q51" s="5">
        <v>350</v>
      </c>
      <c r="R51" s="5">
        <v>350</v>
      </c>
      <c r="S51" s="5">
        <v>350</v>
      </c>
      <c r="T51" s="5">
        <v>350</v>
      </c>
      <c r="U51" s="5">
        <v>350</v>
      </c>
      <c r="V51" s="5">
        <v>350</v>
      </c>
      <c r="W51" s="5">
        <v>350</v>
      </c>
      <c r="X51" s="5">
        <v>350</v>
      </c>
      <c r="Y51" s="5">
        <v>350</v>
      </c>
    </row>
    <row r="52" spans="1:25">
      <c r="A52" s="5"/>
      <c r="B52" s="4">
        <v>1</v>
      </c>
      <c r="C52" s="25">
        <v>330</v>
      </c>
      <c r="D52" s="26"/>
      <c r="E52" s="32" t="s">
        <v>123</v>
      </c>
      <c r="F52" s="5">
        <v>350</v>
      </c>
      <c r="G52" s="5">
        <v>350</v>
      </c>
      <c r="H52" s="5">
        <v>350</v>
      </c>
      <c r="I52" s="5">
        <v>350</v>
      </c>
      <c r="J52" s="5">
        <v>350</v>
      </c>
      <c r="K52" s="5">
        <v>350</v>
      </c>
      <c r="L52" s="5">
        <v>350</v>
      </c>
      <c r="M52" s="5">
        <v>350</v>
      </c>
      <c r="N52" s="5">
        <v>350</v>
      </c>
      <c r="O52" s="5">
        <v>350</v>
      </c>
      <c r="P52" s="5">
        <v>350</v>
      </c>
      <c r="Q52" s="5">
        <v>350</v>
      </c>
      <c r="R52" s="5">
        <v>350</v>
      </c>
      <c r="S52" s="5">
        <v>350</v>
      </c>
      <c r="T52" s="5">
        <v>350</v>
      </c>
      <c r="U52" s="5">
        <v>350</v>
      </c>
      <c r="V52" s="5">
        <v>350</v>
      </c>
      <c r="W52" s="5">
        <v>350</v>
      </c>
      <c r="X52" s="5">
        <v>350</v>
      </c>
      <c r="Y52" s="5">
        <v>350</v>
      </c>
    </row>
    <row r="53" spans="1:25">
      <c r="A53" s="5"/>
      <c r="B53" s="4">
        <v>2</v>
      </c>
      <c r="C53" s="25">
        <v>330</v>
      </c>
      <c r="D53" s="26"/>
      <c r="E53" s="32" t="s">
        <v>124</v>
      </c>
      <c r="F53" s="5">
        <v>350</v>
      </c>
      <c r="G53" s="5">
        <v>350</v>
      </c>
      <c r="H53" s="5">
        <v>350</v>
      </c>
      <c r="I53" s="5">
        <v>350</v>
      </c>
      <c r="J53" s="5">
        <v>350</v>
      </c>
      <c r="K53" s="5">
        <v>350</v>
      </c>
      <c r="L53" s="5">
        <v>350</v>
      </c>
      <c r="M53" s="5">
        <v>350</v>
      </c>
      <c r="N53" s="5">
        <v>350</v>
      </c>
      <c r="O53" s="5">
        <v>350</v>
      </c>
      <c r="P53" s="5">
        <v>350</v>
      </c>
      <c r="Q53" s="5">
        <v>350</v>
      </c>
      <c r="R53" s="5">
        <v>350</v>
      </c>
      <c r="S53" s="5">
        <v>350</v>
      </c>
      <c r="T53" s="5">
        <v>350</v>
      </c>
      <c r="U53" s="5">
        <v>350</v>
      </c>
      <c r="V53" s="5">
        <v>350</v>
      </c>
      <c r="W53" s="5">
        <v>350</v>
      </c>
      <c r="X53" s="5">
        <v>350</v>
      </c>
      <c r="Y53" s="5">
        <v>350</v>
      </c>
    </row>
    <row r="54" spans="1:25">
      <c r="A54" s="5"/>
      <c r="B54" s="4">
        <v>3</v>
      </c>
      <c r="C54" s="25">
        <v>330</v>
      </c>
      <c r="D54" s="26"/>
      <c r="E54" s="32" t="s">
        <v>125</v>
      </c>
      <c r="F54" s="5">
        <v>350</v>
      </c>
      <c r="G54" s="5">
        <v>350</v>
      </c>
      <c r="H54" s="5">
        <v>350</v>
      </c>
      <c r="I54" s="5">
        <v>350</v>
      </c>
      <c r="J54" s="5">
        <v>350</v>
      </c>
      <c r="K54" s="5">
        <v>350</v>
      </c>
      <c r="L54" s="5">
        <v>350</v>
      </c>
      <c r="M54" s="5">
        <v>350</v>
      </c>
      <c r="N54" s="5">
        <v>350</v>
      </c>
      <c r="O54" s="5">
        <v>350</v>
      </c>
      <c r="P54" s="5">
        <v>350</v>
      </c>
      <c r="Q54" s="5">
        <v>350</v>
      </c>
      <c r="R54" s="5">
        <v>350</v>
      </c>
      <c r="S54" s="5">
        <v>350</v>
      </c>
      <c r="T54" s="5">
        <v>350</v>
      </c>
      <c r="U54" s="5">
        <v>350</v>
      </c>
      <c r="V54" s="5">
        <v>350</v>
      </c>
      <c r="W54" s="5">
        <v>350</v>
      </c>
      <c r="X54" s="5">
        <v>350</v>
      </c>
      <c r="Y54" s="5">
        <v>350</v>
      </c>
    </row>
    <row r="55" spans="1:25">
      <c r="A55" s="5"/>
      <c r="B55" s="4">
        <v>4</v>
      </c>
      <c r="C55" s="25">
        <v>330</v>
      </c>
      <c r="D55" s="26"/>
      <c r="E55" s="32" t="s">
        <v>126</v>
      </c>
      <c r="F55" s="5">
        <v>350</v>
      </c>
      <c r="G55" s="5">
        <v>350</v>
      </c>
      <c r="H55" s="5">
        <v>350</v>
      </c>
      <c r="I55" s="5">
        <v>350</v>
      </c>
      <c r="J55" s="5">
        <v>350</v>
      </c>
      <c r="K55" s="5">
        <v>350</v>
      </c>
      <c r="L55" s="5">
        <v>350</v>
      </c>
      <c r="M55" s="5">
        <v>350</v>
      </c>
      <c r="N55" s="5">
        <v>350</v>
      </c>
      <c r="O55" s="5">
        <v>350</v>
      </c>
      <c r="P55" s="5">
        <v>350</v>
      </c>
      <c r="Q55" s="5">
        <v>350</v>
      </c>
      <c r="R55" s="5">
        <v>350</v>
      </c>
      <c r="S55" s="5">
        <v>350</v>
      </c>
      <c r="T55" s="5">
        <v>350</v>
      </c>
      <c r="U55" s="5">
        <v>350</v>
      </c>
      <c r="V55" s="5">
        <v>350</v>
      </c>
      <c r="W55" s="5">
        <v>350</v>
      </c>
      <c r="X55" s="5">
        <v>350</v>
      </c>
      <c r="Y55" s="5">
        <v>350</v>
      </c>
    </row>
    <row r="56" spans="1:25">
      <c r="A56" s="5"/>
      <c r="B56" s="8" t="s">
        <v>11</v>
      </c>
      <c r="C56" s="25">
        <v>330</v>
      </c>
      <c r="D56" s="2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>
      <c r="A57" s="5"/>
      <c r="B57" s="8" t="s">
        <v>12</v>
      </c>
      <c r="C57" s="25">
        <v>330</v>
      </c>
      <c r="D57" s="2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>
      <c r="A58" s="5"/>
      <c r="B58" s="8" t="s">
        <v>13</v>
      </c>
      <c r="C58" s="25">
        <v>330</v>
      </c>
      <c r="D58" s="2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>
      <c r="A59" s="5"/>
      <c r="B59" s="8" t="s">
        <v>14</v>
      </c>
      <c r="C59" s="25">
        <v>330</v>
      </c>
      <c r="D59" s="2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>
      <c r="A60" s="5"/>
      <c r="B60" s="8" t="s">
        <v>15</v>
      </c>
      <c r="C60" s="25">
        <v>330</v>
      </c>
      <c r="D60" s="2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>
      <c r="A61" s="5"/>
      <c r="B61" s="8" t="s">
        <v>16</v>
      </c>
      <c r="C61" s="25">
        <v>330</v>
      </c>
      <c r="D61" s="2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>
      <c r="A62" s="5">
        <v>1973</v>
      </c>
      <c r="B62" s="4" t="s">
        <v>5</v>
      </c>
      <c r="C62" s="25">
        <v>330</v>
      </c>
      <c r="D62" s="2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>
      <c r="A63" s="5"/>
      <c r="B63" s="4" t="s">
        <v>6</v>
      </c>
      <c r="C63" s="25">
        <v>330</v>
      </c>
      <c r="D63" s="2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>
      <c r="A64" s="5"/>
      <c r="B64" s="4" t="s">
        <v>7</v>
      </c>
      <c r="C64" s="25">
        <v>330</v>
      </c>
      <c r="D64" s="2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>
      <c r="A65" s="5"/>
      <c r="B65" s="8" t="s">
        <v>8</v>
      </c>
      <c r="C65" s="25">
        <v>330</v>
      </c>
      <c r="D65" s="2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>
      <c r="A66" s="5"/>
      <c r="B66" s="8" t="s">
        <v>9</v>
      </c>
      <c r="C66" s="25">
        <v>330</v>
      </c>
      <c r="D66" s="2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>
      <c r="A67" s="5"/>
      <c r="B67" s="8" t="s">
        <v>10</v>
      </c>
      <c r="C67" s="25">
        <v>330</v>
      </c>
      <c r="D67" s="2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>
      <c r="A68" s="5"/>
      <c r="B68" s="4">
        <v>9</v>
      </c>
      <c r="C68" s="25">
        <v>330</v>
      </c>
      <c r="D68" s="2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>
      <c r="A69" s="5"/>
      <c r="B69" s="4">
        <v>10</v>
      </c>
      <c r="C69" s="25">
        <v>330</v>
      </c>
      <c r="D69" s="2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>
      <c r="A70" s="5"/>
      <c r="B70" s="4">
        <v>11</v>
      </c>
      <c r="C70" s="25">
        <v>330</v>
      </c>
      <c r="D70" s="2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>
      <c r="A71" s="5"/>
      <c r="B71" s="4">
        <v>12</v>
      </c>
      <c r="C71" s="25">
        <v>330</v>
      </c>
      <c r="D71" s="2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>
      <c r="A72" s="5"/>
      <c r="B72" s="4">
        <v>1</v>
      </c>
      <c r="C72" s="25">
        <v>330</v>
      </c>
      <c r="D72" s="2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>
      <c r="A73" s="5"/>
      <c r="B73" s="4">
        <v>2</v>
      </c>
      <c r="C73" s="25">
        <v>330</v>
      </c>
      <c r="D73" s="2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>
      <c r="A74" s="5"/>
      <c r="B74" s="4">
        <v>3</v>
      </c>
      <c r="C74" s="25">
        <v>330</v>
      </c>
      <c r="D74" s="2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>
      <c r="A75" s="5"/>
      <c r="B75" s="4">
        <v>4</v>
      </c>
      <c r="C75" s="25">
        <v>330</v>
      </c>
      <c r="D75" s="2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>
      <c r="A76" s="5"/>
      <c r="B76" s="8" t="s">
        <v>11</v>
      </c>
      <c r="C76" s="25">
        <v>330</v>
      </c>
      <c r="D76" s="2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>
      <c r="A77" s="5"/>
      <c r="B77" s="8" t="s">
        <v>12</v>
      </c>
      <c r="C77" s="25">
        <v>330</v>
      </c>
      <c r="D77" s="26"/>
    </row>
    <row r="78" spans="1:25">
      <c r="A78" s="5"/>
      <c r="B78" s="8" t="s">
        <v>13</v>
      </c>
      <c r="C78" s="25">
        <v>330</v>
      </c>
      <c r="D78" s="26"/>
    </row>
    <row r="79" spans="1:25">
      <c r="A79" s="5"/>
      <c r="B79" s="8" t="s">
        <v>14</v>
      </c>
      <c r="C79" s="25">
        <v>330</v>
      </c>
      <c r="D79" s="26"/>
    </row>
    <row r="80" spans="1:25">
      <c r="A80" s="5"/>
      <c r="B80" s="8" t="s">
        <v>15</v>
      </c>
      <c r="C80" s="25">
        <v>330</v>
      </c>
      <c r="D80" s="26"/>
    </row>
    <row r="81" spans="1:4">
      <c r="A81" s="5"/>
      <c r="B81" s="8" t="s">
        <v>16</v>
      </c>
      <c r="C81" s="25">
        <v>330</v>
      </c>
      <c r="D81" s="26"/>
    </row>
    <row r="82" spans="1:4">
      <c r="A82" s="5">
        <v>1974</v>
      </c>
      <c r="B82" s="4" t="s">
        <v>5</v>
      </c>
      <c r="C82" s="25">
        <v>330</v>
      </c>
      <c r="D82" s="26"/>
    </row>
    <row r="83" spans="1:4">
      <c r="A83" s="5"/>
      <c r="B83" s="4" t="s">
        <v>6</v>
      </c>
      <c r="C83" s="25">
        <v>330</v>
      </c>
      <c r="D83" s="26"/>
    </row>
    <row r="84" spans="1:4">
      <c r="A84" s="5"/>
      <c r="B84" s="4" t="s">
        <v>7</v>
      </c>
      <c r="C84" s="25">
        <v>330</v>
      </c>
      <c r="D84" s="26"/>
    </row>
    <row r="85" spans="1:4">
      <c r="A85" s="5"/>
      <c r="B85" s="8" t="s">
        <v>8</v>
      </c>
      <c r="C85" s="25">
        <v>330</v>
      </c>
      <c r="D85" s="26"/>
    </row>
    <row r="86" spans="1:4">
      <c r="A86" s="5"/>
      <c r="B86" s="8" t="s">
        <v>9</v>
      </c>
      <c r="C86" s="25">
        <v>330</v>
      </c>
      <c r="D86" s="26"/>
    </row>
    <row r="87" spans="1:4">
      <c r="A87" s="5"/>
      <c r="B87" s="8" t="s">
        <v>10</v>
      </c>
      <c r="C87" s="25">
        <v>330</v>
      </c>
      <c r="D87" s="26"/>
    </row>
    <row r="88" spans="1:4">
      <c r="A88" s="5"/>
      <c r="B88" s="4">
        <v>9</v>
      </c>
      <c r="C88" s="25">
        <v>330</v>
      </c>
      <c r="D88" s="26"/>
    </row>
    <row r="89" spans="1:4">
      <c r="A89" s="5"/>
      <c r="B89" s="4">
        <v>10</v>
      </c>
      <c r="C89" s="25">
        <v>330</v>
      </c>
      <c r="D89" s="26"/>
    </row>
    <row r="90" spans="1:4">
      <c r="A90" s="5"/>
      <c r="B90" s="4">
        <v>11</v>
      </c>
      <c r="C90" s="25">
        <v>330</v>
      </c>
      <c r="D90" s="26"/>
    </row>
    <row r="91" spans="1:4">
      <c r="A91" s="5"/>
      <c r="B91" s="4">
        <v>12</v>
      </c>
      <c r="C91" s="25">
        <v>330</v>
      </c>
      <c r="D91" s="26"/>
    </row>
    <row r="92" spans="1:4">
      <c r="A92" s="5"/>
      <c r="B92" s="4">
        <v>1</v>
      </c>
      <c r="C92" s="25">
        <v>330</v>
      </c>
      <c r="D92" s="26"/>
    </row>
    <row r="93" spans="1:4">
      <c r="A93" s="5"/>
      <c r="B93" s="4">
        <v>2</v>
      </c>
      <c r="C93" s="25">
        <v>330</v>
      </c>
      <c r="D93" s="26"/>
    </row>
    <row r="94" spans="1:4">
      <c r="A94" s="5"/>
      <c r="B94" s="4">
        <v>3</v>
      </c>
      <c r="C94" s="25">
        <v>330</v>
      </c>
      <c r="D94" s="26"/>
    </row>
    <row r="95" spans="1:4">
      <c r="A95" s="5"/>
      <c r="B95" s="4">
        <v>4</v>
      </c>
      <c r="C95" s="25">
        <v>330</v>
      </c>
      <c r="D95" s="26"/>
    </row>
    <row r="96" spans="1:4">
      <c r="A96" s="5"/>
      <c r="B96" s="8" t="s">
        <v>11</v>
      </c>
      <c r="C96" s="25">
        <v>330</v>
      </c>
      <c r="D96" s="26"/>
    </row>
    <row r="97" spans="1:4">
      <c r="A97" s="5"/>
      <c r="B97" s="8" t="s">
        <v>12</v>
      </c>
      <c r="C97" s="25">
        <v>330</v>
      </c>
      <c r="D97" s="26"/>
    </row>
    <row r="98" spans="1:4">
      <c r="A98" s="5"/>
      <c r="B98" s="8" t="s">
        <v>13</v>
      </c>
      <c r="C98" s="25">
        <v>330</v>
      </c>
      <c r="D98" s="26"/>
    </row>
    <row r="99" spans="1:4">
      <c r="A99" s="5"/>
      <c r="B99" s="8" t="s">
        <v>14</v>
      </c>
      <c r="C99" s="25">
        <v>330</v>
      </c>
      <c r="D99" s="26"/>
    </row>
    <row r="100" spans="1:4">
      <c r="A100" s="5"/>
      <c r="B100" s="8" t="s">
        <v>15</v>
      </c>
      <c r="C100" s="25">
        <v>330</v>
      </c>
      <c r="D100" s="26"/>
    </row>
    <row r="101" spans="1:4">
      <c r="A101" s="5"/>
      <c r="B101" s="8" t="s">
        <v>16</v>
      </c>
      <c r="C101" s="25">
        <v>330</v>
      </c>
      <c r="D101" s="26"/>
    </row>
    <row r="102" spans="1:4">
      <c r="A102" s="5">
        <v>1975</v>
      </c>
      <c r="B102" s="4" t="s">
        <v>5</v>
      </c>
      <c r="C102" s="25">
        <v>330</v>
      </c>
      <c r="D102" s="26"/>
    </row>
    <row r="103" spans="1:4">
      <c r="A103" s="5"/>
      <c r="B103" s="4" t="s">
        <v>6</v>
      </c>
      <c r="C103" s="25">
        <v>330</v>
      </c>
      <c r="D103" s="26"/>
    </row>
    <row r="104" spans="1:4">
      <c r="A104" s="5"/>
      <c r="B104" s="4" t="s">
        <v>7</v>
      </c>
      <c r="C104" s="25">
        <v>330</v>
      </c>
      <c r="D104" s="26"/>
    </row>
    <row r="105" spans="1:4">
      <c r="A105" s="5"/>
      <c r="B105" s="8" t="s">
        <v>8</v>
      </c>
      <c r="C105" s="25">
        <v>330</v>
      </c>
      <c r="D105" s="26"/>
    </row>
    <row r="106" spans="1:4">
      <c r="A106" s="5"/>
      <c r="B106" s="8" t="s">
        <v>9</v>
      </c>
      <c r="C106" s="25">
        <v>330</v>
      </c>
      <c r="D106" s="26"/>
    </row>
    <row r="107" spans="1:4">
      <c r="A107" s="5"/>
      <c r="B107" s="8" t="s">
        <v>10</v>
      </c>
      <c r="C107" s="25">
        <v>330</v>
      </c>
      <c r="D107" s="26"/>
    </row>
    <row r="108" spans="1:4">
      <c r="A108" s="5"/>
      <c r="B108" s="4">
        <v>9</v>
      </c>
      <c r="C108" s="25">
        <v>330</v>
      </c>
      <c r="D108" s="26"/>
    </row>
    <row r="109" spans="1:4">
      <c r="A109" s="5"/>
      <c r="B109" s="4">
        <v>10</v>
      </c>
      <c r="C109" s="25">
        <v>330</v>
      </c>
      <c r="D109" s="26"/>
    </row>
    <row r="110" spans="1:4">
      <c r="A110" s="5"/>
      <c r="B110" s="4">
        <v>11</v>
      </c>
      <c r="C110" s="25">
        <v>330</v>
      </c>
      <c r="D110" s="26"/>
    </row>
    <row r="111" spans="1:4">
      <c r="A111" s="5"/>
      <c r="B111" s="4">
        <v>12</v>
      </c>
      <c r="C111" s="25">
        <v>330</v>
      </c>
      <c r="D111" s="26"/>
    </row>
    <row r="112" spans="1:4">
      <c r="A112" s="5"/>
      <c r="B112" s="4">
        <v>1</v>
      </c>
      <c r="C112" s="25">
        <v>330</v>
      </c>
      <c r="D112" s="26"/>
    </row>
    <row r="113" spans="1:4">
      <c r="A113" s="5"/>
      <c r="B113" s="4">
        <v>2</v>
      </c>
      <c r="C113" s="25">
        <v>330</v>
      </c>
      <c r="D113" s="26"/>
    </row>
    <row r="114" spans="1:4">
      <c r="A114" s="5"/>
      <c r="B114" s="4">
        <v>3</v>
      </c>
      <c r="C114" s="25">
        <v>330</v>
      </c>
      <c r="D114" s="26"/>
    </row>
    <row r="115" spans="1:4">
      <c r="A115" s="5"/>
      <c r="B115" s="4">
        <v>4</v>
      </c>
      <c r="C115" s="25">
        <v>330</v>
      </c>
      <c r="D115" s="26"/>
    </row>
    <row r="116" spans="1:4">
      <c r="A116" s="5"/>
      <c r="B116" s="8" t="s">
        <v>11</v>
      </c>
      <c r="C116" s="25">
        <v>330</v>
      </c>
      <c r="D116" s="26"/>
    </row>
    <row r="117" spans="1:4">
      <c r="A117" s="5"/>
      <c r="B117" s="8" t="s">
        <v>12</v>
      </c>
      <c r="C117" s="25">
        <v>330</v>
      </c>
      <c r="D117" s="26"/>
    </row>
    <row r="118" spans="1:4">
      <c r="A118" s="5"/>
      <c r="B118" s="8" t="s">
        <v>13</v>
      </c>
      <c r="C118" s="25">
        <v>330</v>
      </c>
      <c r="D118" s="26"/>
    </row>
    <row r="119" spans="1:4">
      <c r="A119" s="5"/>
      <c r="B119" s="8" t="s">
        <v>14</v>
      </c>
      <c r="C119" s="25">
        <v>330</v>
      </c>
      <c r="D119" s="26"/>
    </row>
    <row r="120" spans="1:4">
      <c r="A120" s="5"/>
      <c r="B120" s="8" t="s">
        <v>15</v>
      </c>
      <c r="C120" s="25">
        <v>330</v>
      </c>
      <c r="D120" s="26"/>
    </row>
    <row r="121" spans="1:4">
      <c r="A121" s="5"/>
      <c r="B121" s="8" t="s">
        <v>16</v>
      </c>
      <c r="C121" s="25">
        <v>330</v>
      </c>
      <c r="D121" s="26"/>
    </row>
    <row r="122" spans="1:4">
      <c r="A122" s="5">
        <v>1976</v>
      </c>
      <c r="B122" s="4" t="s">
        <v>5</v>
      </c>
      <c r="C122" s="25">
        <v>330</v>
      </c>
      <c r="D122" s="26"/>
    </row>
    <row r="123" spans="1:4">
      <c r="A123" s="5"/>
      <c r="B123" s="4" t="s">
        <v>6</v>
      </c>
      <c r="C123" s="25">
        <v>330</v>
      </c>
      <c r="D123" s="26"/>
    </row>
    <row r="124" spans="1:4">
      <c r="A124" s="5"/>
      <c r="B124" s="4" t="s">
        <v>7</v>
      </c>
      <c r="C124" s="25">
        <v>330</v>
      </c>
      <c r="D124" s="26"/>
    </row>
    <row r="125" spans="1:4">
      <c r="A125" s="5"/>
      <c r="B125" s="8" t="s">
        <v>8</v>
      </c>
      <c r="C125" s="25">
        <v>330</v>
      </c>
      <c r="D125" s="26"/>
    </row>
    <row r="126" spans="1:4">
      <c r="A126" s="5"/>
      <c r="B126" s="8" t="s">
        <v>9</v>
      </c>
      <c r="C126" s="25">
        <v>330</v>
      </c>
      <c r="D126" s="26"/>
    </row>
    <row r="127" spans="1:4">
      <c r="A127" s="5"/>
      <c r="B127" s="8" t="s">
        <v>10</v>
      </c>
      <c r="C127" s="25">
        <v>330</v>
      </c>
      <c r="D127" s="26"/>
    </row>
    <row r="128" spans="1:4">
      <c r="A128" s="5"/>
      <c r="B128" s="4">
        <v>9</v>
      </c>
      <c r="C128" s="25">
        <v>330</v>
      </c>
      <c r="D128" s="26"/>
    </row>
    <row r="129" spans="1:4">
      <c r="A129" s="5"/>
      <c r="B129" s="4">
        <v>10</v>
      </c>
      <c r="C129" s="25">
        <v>330</v>
      </c>
      <c r="D129" s="26"/>
    </row>
    <row r="130" spans="1:4">
      <c r="A130" s="5"/>
      <c r="B130" s="4">
        <v>11</v>
      </c>
      <c r="C130" s="25">
        <v>330</v>
      </c>
      <c r="D130" s="26"/>
    </row>
    <row r="131" spans="1:4">
      <c r="A131" s="5"/>
      <c r="B131" s="4">
        <v>12</v>
      </c>
      <c r="C131" s="25">
        <v>330</v>
      </c>
      <c r="D131" s="26"/>
    </row>
    <row r="132" spans="1:4">
      <c r="A132" s="5"/>
      <c r="B132" s="4">
        <v>1</v>
      </c>
      <c r="C132" s="25">
        <v>330</v>
      </c>
      <c r="D132" s="26"/>
    </row>
    <row r="133" spans="1:4">
      <c r="A133" s="5"/>
      <c r="B133" s="4">
        <v>2</v>
      </c>
      <c r="C133" s="25">
        <v>330</v>
      </c>
      <c r="D133" s="26"/>
    </row>
    <row r="134" spans="1:4">
      <c r="A134" s="5"/>
      <c r="B134" s="4">
        <v>3</v>
      </c>
      <c r="C134" s="25">
        <v>330</v>
      </c>
      <c r="D134" s="26"/>
    </row>
    <row r="135" spans="1:4">
      <c r="A135" s="5"/>
      <c r="B135" s="4">
        <v>4</v>
      </c>
      <c r="C135" s="25">
        <v>330</v>
      </c>
      <c r="D135" s="26"/>
    </row>
    <row r="136" spans="1:4">
      <c r="A136" s="5"/>
      <c r="B136" s="8" t="s">
        <v>11</v>
      </c>
      <c r="C136" s="25">
        <v>330</v>
      </c>
      <c r="D136" s="26"/>
    </row>
    <row r="137" spans="1:4">
      <c r="A137" s="5"/>
      <c r="B137" s="8" t="s">
        <v>12</v>
      </c>
      <c r="C137" s="25">
        <v>330</v>
      </c>
      <c r="D137" s="26"/>
    </row>
    <row r="138" spans="1:4">
      <c r="A138" s="5"/>
      <c r="B138" s="8" t="s">
        <v>13</v>
      </c>
      <c r="C138" s="25">
        <v>330</v>
      </c>
      <c r="D138" s="26"/>
    </row>
    <row r="139" spans="1:4">
      <c r="A139" s="5"/>
      <c r="B139" s="8" t="s">
        <v>14</v>
      </c>
      <c r="C139" s="25">
        <v>330</v>
      </c>
      <c r="D139" s="26"/>
    </row>
    <row r="140" spans="1:4">
      <c r="A140" s="5"/>
      <c r="B140" s="8" t="s">
        <v>15</v>
      </c>
      <c r="C140" s="25">
        <v>330</v>
      </c>
      <c r="D140" s="26"/>
    </row>
    <row r="141" spans="1:4">
      <c r="A141" s="5"/>
      <c r="B141" s="8" t="s">
        <v>16</v>
      </c>
      <c r="C141" s="25">
        <v>330</v>
      </c>
      <c r="D141" s="26"/>
    </row>
    <row r="142" spans="1:4">
      <c r="A142" s="5">
        <v>1977</v>
      </c>
      <c r="B142" s="4" t="s">
        <v>5</v>
      </c>
      <c r="C142" s="25">
        <v>330</v>
      </c>
      <c r="D142" s="26"/>
    </row>
    <row r="143" spans="1:4">
      <c r="A143" s="5"/>
      <c r="B143" s="4" t="s">
        <v>6</v>
      </c>
      <c r="C143" s="25">
        <v>330</v>
      </c>
      <c r="D143" s="26"/>
    </row>
    <row r="144" spans="1:4">
      <c r="A144" s="5"/>
      <c r="B144" s="4" t="s">
        <v>7</v>
      </c>
      <c r="C144" s="25">
        <v>330</v>
      </c>
      <c r="D144" s="26"/>
    </row>
    <row r="145" spans="1:4">
      <c r="A145" s="5"/>
      <c r="B145" s="8" t="s">
        <v>8</v>
      </c>
      <c r="C145" s="25">
        <v>330</v>
      </c>
      <c r="D145" s="26"/>
    </row>
    <row r="146" spans="1:4">
      <c r="A146" s="5"/>
      <c r="B146" s="8" t="s">
        <v>9</v>
      </c>
      <c r="C146" s="25">
        <v>330</v>
      </c>
      <c r="D146" s="26"/>
    </row>
    <row r="147" spans="1:4">
      <c r="A147" s="5"/>
      <c r="B147" s="8" t="s">
        <v>10</v>
      </c>
      <c r="C147" s="25">
        <v>330</v>
      </c>
      <c r="D147" s="26"/>
    </row>
    <row r="148" spans="1:4">
      <c r="A148" s="5"/>
      <c r="B148" s="4">
        <v>9</v>
      </c>
      <c r="C148" s="25">
        <v>330</v>
      </c>
      <c r="D148" s="26"/>
    </row>
    <row r="149" spans="1:4">
      <c r="A149" s="5"/>
      <c r="B149" s="4">
        <v>10</v>
      </c>
      <c r="C149" s="25">
        <v>330</v>
      </c>
      <c r="D149" s="26"/>
    </row>
    <row r="150" spans="1:4">
      <c r="A150" s="5"/>
      <c r="B150" s="4">
        <v>11</v>
      </c>
      <c r="C150" s="25">
        <v>330</v>
      </c>
      <c r="D150" s="26"/>
    </row>
    <row r="151" spans="1:4">
      <c r="A151" s="5"/>
      <c r="B151" s="4">
        <v>12</v>
      </c>
      <c r="C151" s="25">
        <v>330</v>
      </c>
      <c r="D151" s="26"/>
    </row>
    <row r="152" spans="1:4">
      <c r="A152" s="5"/>
      <c r="B152" s="4">
        <v>1</v>
      </c>
      <c r="C152" s="25">
        <v>330</v>
      </c>
      <c r="D152" s="26"/>
    </row>
    <row r="153" spans="1:4">
      <c r="A153" s="5"/>
      <c r="B153" s="4">
        <v>2</v>
      </c>
      <c r="C153" s="25">
        <v>330</v>
      </c>
      <c r="D153" s="26"/>
    </row>
    <row r="154" spans="1:4">
      <c r="A154" s="5"/>
      <c r="B154" s="4">
        <v>3</v>
      </c>
      <c r="C154" s="25">
        <v>330</v>
      </c>
      <c r="D154" s="26"/>
    </row>
    <row r="155" spans="1:4">
      <c r="A155" s="5"/>
      <c r="B155" s="4">
        <v>4</v>
      </c>
      <c r="C155" s="25">
        <v>330</v>
      </c>
      <c r="D155" s="26"/>
    </row>
    <row r="156" spans="1:4">
      <c r="A156" s="5"/>
      <c r="B156" s="8" t="s">
        <v>11</v>
      </c>
      <c r="C156" s="25">
        <v>330</v>
      </c>
      <c r="D156" s="26"/>
    </row>
    <row r="157" spans="1:4">
      <c r="A157" s="5"/>
      <c r="B157" s="8" t="s">
        <v>12</v>
      </c>
      <c r="C157" s="25">
        <v>330</v>
      </c>
      <c r="D157" s="26"/>
    </row>
    <row r="158" spans="1:4">
      <c r="A158" s="5"/>
      <c r="B158" s="8" t="s">
        <v>13</v>
      </c>
      <c r="C158" s="25">
        <v>330</v>
      </c>
      <c r="D158" s="26"/>
    </row>
    <row r="159" spans="1:4">
      <c r="A159" s="5"/>
      <c r="B159" s="8" t="s">
        <v>14</v>
      </c>
      <c r="C159" s="25">
        <v>330</v>
      </c>
      <c r="D159" s="26"/>
    </row>
    <row r="160" spans="1:4">
      <c r="A160" s="5"/>
      <c r="B160" s="8" t="s">
        <v>15</v>
      </c>
      <c r="C160" s="25">
        <v>330</v>
      </c>
      <c r="D160" s="26"/>
    </row>
    <row r="161" spans="1:4">
      <c r="A161" s="5"/>
      <c r="B161" s="8" t="s">
        <v>16</v>
      </c>
      <c r="C161" s="25">
        <v>330</v>
      </c>
      <c r="D161" s="26"/>
    </row>
    <row r="162" spans="1:4">
      <c r="A162" s="5">
        <v>1978</v>
      </c>
      <c r="B162" s="4" t="s">
        <v>5</v>
      </c>
      <c r="C162" s="25">
        <v>330</v>
      </c>
      <c r="D162" s="26"/>
    </row>
    <row r="163" spans="1:4">
      <c r="A163" s="5"/>
      <c r="B163" s="4" t="s">
        <v>6</v>
      </c>
      <c r="C163" s="25">
        <v>330</v>
      </c>
      <c r="D163" s="26"/>
    </row>
    <row r="164" spans="1:4">
      <c r="A164" s="5"/>
      <c r="B164" s="4" t="s">
        <v>7</v>
      </c>
      <c r="C164" s="25">
        <v>330</v>
      </c>
      <c r="D164" s="26"/>
    </row>
    <row r="165" spans="1:4">
      <c r="A165" s="5"/>
      <c r="B165" s="8" t="s">
        <v>8</v>
      </c>
      <c r="C165" s="25">
        <v>330</v>
      </c>
      <c r="D165" s="26"/>
    </row>
    <row r="166" spans="1:4">
      <c r="A166" s="5"/>
      <c r="B166" s="8" t="s">
        <v>9</v>
      </c>
      <c r="C166" s="25">
        <v>330</v>
      </c>
      <c r="D166" s="26"/>
    </row>
    <row r="167" spans="1:4">
      <c r="A167" s="5"/>
      <c r="B167" s="8" t="s">
        <v>10</v>
      </c>
      <c r="C167" s="25">
        <v>330</v>
      </c>
      <c r="D167" s="26"/>
    </row>
    <row r="168" spans="1:4">
      <c r="A168" s="5"/>
      <c r="B168" s="4">
        <v>9</v>
      </c>
      <c r="C168" s="25">
        <v>330</v>
      </c>
      <c r="D168" s="26"/>
    </row>
    <row r="169" spans="1:4">
      <c r="A169" s="5"/>
      <c r="B169" s="4">
        <v>10</v>
      </c>
      <c r="C169" s="25">
        <v>330</v>
      </c>
      <c r="D169" s="26"/>
    </row>
    <row r="170" spans="1:4">
      <c r="A170" s="5"/>
      <c r="B170" s="4">
        <v>11</v>
      </c>
      <c r="C170" s="25">
        <v>330</v>
      </c>
      <c r="D170" s="26"/>
    </row>
    <row r="171" spans="1:4">
      <c r="A171" s="5"/>
      <c r="B171" s="4">
        <v>12</v>
      </c>
      <c r="C171" s="25">
        <v>330</v>
      </c>
      <c r="D171" s="26"/>
    </row>
    <row r="172" spans="1:4">
      <c r="A172" s="5"/>
      <c r="B172" s="4">
        <v>1</v>
      </c>
      <c r="C172" s="25">
        <v>330</v>
      </c>
      <c r="D172" s="26"/>
    </row>
    <row r="173" spans="1:4">
      <c r="A173" s="5"/>
      <c r="B173" s="4">
        <v>2</v>
      </c>
      <c r="C173" s="25">
        <v>330</v>
      </c>
      <c r="D173" s="26"/>
    </row>
    <row r="174" spans="1:4">
      <c r="A174" s="5"/>
      <c r="B174" s="4">
        <v>3</v>
      </c>
      <c r="C174" s="25">
        <v>330</v>
      </c>
      <c r="D174" s="26"/>
    </row>
    <row r="175" spans="1:4">
      <c r="A175" s="5"/>
      <c r="B175" s="4">
        <v>4</v>
      </c>
      <c r="C175" s="25">
        <v>330</v>
      </c>
      <c r="D175" s="26"/>
    </row>
    <row r="176" spans="1:4">
      <c r="A176" s="5"/>
      <c r="B176" s="8" t="s">
        <v>11</v>
      </c>
      <c r="C176" s="25">
        <v>330</v>
      </c>
      <c r="D176" s="26"/>
    </row>
    <row r="177" spans="1:4">
      <c r="A177" s="5"/>
      <c r="B177" s="8" t="s">
        <v>12</v>
      </c>
      <c r="C177" s="25">
        <v>330</v>
      </c>
      <c r="D177" s="26"/>
    </row>
    <row r="178" spans="1:4">
      <c r="A178" s="5"/>
      <c r="B178" s="8" t="s">
        <v>13</v>
      </c>
      <c r="C178" s="25">
        <v>330</v>
      </c>
      <c r="D178" s="26"/>
    </row>
    <row r="179" spans="1:4">
      <c r="A179" s="5"/>
      <c r="B179" s="8" t="s">
        <v>14</v>
      </c>
      <c r="C179" s="25">
        <v>330</v>
      </c>
      <c r="D179" s="26"/>
    </row>
    <row r="180" spans="1:4">
      <c r="A180" s="5"/>
      <c r="B180" s="8" t="s">
        <v>15</v>
      </c>
      <c r="C180" s="25">
        <v>330</v>
      </c>
      <c r="D180" s="26"/>
    </row>
    <row r="181" spans="1:4">
      <c r="A181" s="5"/>
      <c r="B181" s="8" t="s">
        <v>16</v>
      </c>
      <c r="C181" s="25">
        <v>330</v>
      </c>
      <c r="D181" s="26"/>
    </row>
    <row r="182" spans="1:4">
      <c r="A182" s="5">
        <v>1979</v>
      </c>
      <c r="B182" s="4" t="s">
        <v>5</v>
      </c>
      <c r="C182" s="25">
        <v>330</v>
      </c>
      <c r="D182" s="26"/>
    </row>
    <row r="183" spans="1:4">
      <c r="A183" s="5"/>
      <c r="B183" s="4" t="s">
        <v>6</v>
      </c>
      <c r="C183" s="25">
        <v>330</v>
      </c>
      <c r="D183" s="26"/>
    </row>
    <row r="184" spans="1:4">
      <c r="A184" s="5"/>
      <c r="B184" s="4" t="s">
        <v>7</v>
      </c>
      <c r="C184" s="25">
        <v>330</v>
      </c>
      <c r="D184" s="26"/>
    </row>
    <row r="185" spans="1:4">
      <c r="A185" s="5"/>
      <c r="B185" s="8" t="s">
        <v>8</v>
      </c>
      <c r="C185" s="25">
        <v>330</v>
      </c>
      <c r="D185" s="26"/>
    </row>
    <row r="186" spans="1:4">
      <c r="A186" s="5"/>
      <c r="B186" s="8" t="s">
        <v>9</v>
      </c>
      <c r="C186" s="25">
        <v>330</v>
      </c>
      <c r="D186" s="26"/>
    </row>
    <row r="187" spans="1:4">
      <c r="A187" s="5"/>
      <c r="B187" s="8" t="s">
        <v>10</v>
      </c>
      <c r="C187" s="25">
        <v>330</v>
      </c>
      <c r="D187" s="26"/>
    </row>
    <row r="188" spans="1:4">
      <c r="A188" s="5"/>
      <c r="B188" s="4">
        <v>9</v>
      </c>
      <c r="C188" s="25">
        <v>330</v>
      </c>
      <c r="D188" s="26"/>
    </row>
    <row r="189" spans="1:4">
      <c r="A189" s="5"/>
      <c r="B189" s="4">
        <v>10</v>
      </c>
      <c r="C189" s="25">
        <v>330</v>
      </c>
      <c r="D189" s="26"/>
    </row>
    <row r="190" spans="1:4">
      <c r="A190" s="5"/>
      <c r="B190" s="4">
        <v>11</v>
      </c>
      <c r="C190" s="25">
        <v>330</v>
      </c>
      <c r="D190" s="26"/>
    </row>
    <row r="191" spans="1:4">
      <c r="A191" s="5"/>
      <c r="B191" s="4">
        <v>12</v>
      </c>
      <c r="C191" s="25">
        <v>330</v>
      </c>
      <c r="D191" s="26"/>
    </row>
    <row r="192" spans="1:4">
      <c r="A192" s="5"/>
      <c r="B192" s="4">
        <v>1</v>
      </c>
      <c r="C192" s="25">
        <v>330</v>
      </c>
      <c r="D192" s="26"/>
    </row>
    <row r="193" spans="1:4">
      <c r="A193" s="5"/>
      <c r="B193" s="4">
        <v>2</v>
      </c>
      <c r="C193" s="25">
        <v>330</v>
      </c>
      <c r="D193" s="26"/>
    </row>
    <row r="194" spans="1:4">
      <c r="A194" s="5"/>
      <c r="B194" s="4">
        <v>3</v>
      </c>
      <c r="C194" s="25">
        <v>330</v>
      </c>
      <c r="D194" s="26"/>
    </row>
    <row r="195" spans="1:4">
      <c r="A195" s="5"/>
      <c r="B195" s="4">
        <v>4</v>
      </c>
      <c r="C195" s="25">
        <v>330</v>
      </c>
      <c r="D195" s="26"/>
    </row>
    <row r="196" spans="1:4">
      <c r="A196" s="5"/>
      <c r="B196" s="8" t="s">
        <v>11</v>
      </c>
      <c r="C196" s="25">
        <v>330</v>
      </c>
      <c r="D196" s="26"/>
    </row>
    <row r="197" spans="1:4">
      <c r="A197" s="5"/>
      <c r="B197" s="8" t="s">
        <v>12</v>
      </c>
      <c r="C197" s="25">
        <v>330</v>
      </c>
      <c r="D197" s="26"/>
    </row>
    <row r="198" spans="1:4">
      <c r="A198" s="5"/>
      <c r="B198" s="8" t="s">
        <v>13</v>
      </c>
      <c r="C198" s="25">
        <v>330</v>
      </c>
      <c r="D198" s="26"/>
    </row>
    <row r="199" spans="1:4">
      <c r="A199" s="5"/>
      <c r="B199" s="8" t="s">
        <v>14</v>
      </c>
      <c r="C199" s="25">
        <v>330</v>
      </c>
      <c r="D199" s="26"/>
    </row>
    <row r="200" spans="1:4">
      <c r="A200" s="4"/>
      <c r="B200" s="8" t="s">
        <v>15</v>
      </c>
      <c r="C200" s="25">
        <v>330</v>
      </c>
      <c r="D200" s="26"/>
    </row>
    <row r="201" spans="1:4">
      <c r="A201" s="4"/>
      <c r="B201" s="8" t="s">
        <v>16</v>
      </c>
      <c r="C201" s="25">
        <v>330</v>
      </c>
      <c r="D201" s="26"/>
    </row>
    <row r="202" spans="1:4">
      <c r="A202" s="4"/>
    </row>
    <row r="203" spans="1:4">
      <c r="A203" s="4"/>
    </row>
    <row r="204" spans="1:4">
      <c r="A204" s="4"/>
    </row>
    <row r="205" spans="1:4">
      <c r="A205" s="4"/>
    </row>
    <row r="206" spans="1:4">
      <c r="A206" s="4"/>
    </row>
    <row r="207" spans="1:4">
      <c r="A207" s="4"/>
    </row>
    <row r="208" spans="1:4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</sheetData>
  <phoneticPr fontId="7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activeCell="C15" sqref="C15"/>
    </sheetView>
  </sheetViews>
  <sheetFormatPr baseColWidth="10" defaultColWidth="9" defaultRowHeight="15"/>
  <sheetData>
    <row r="1" spans="1:2">
      <c r="A1" s="15" t="s">
        <v>87</v>
      </c>
      <c r="B1" s="15" t="s">
        <v>88</v>
      </c>
    </row>
    <row r="2" spans="1:2">
      <c r="A2" s="22">
        <v>2450</v>
      </c>
      <c r="B2" s="22">
        <v>300</v>
      </c>
    </row>
    <row r="3" spans="1:2">
      <c r="A3" s="22">
        <v>2450.85</v>
      </c>
      <c r="B3" s="22">
        <v>400</v>
      </c>
    </row>
    <row r="4" spans="1:2">
      <c r="A4" s="22">
        <v>2452.1999999999998</v>
      </c>
      <c r="B4" s="22">
        <v>600</v>
      </c>
    </row>
    <row r="5" spans="1:2">
      <c r="A5" s="22">
        <v>2453.06</v>
      </c>
      <c r="B5" s="22">
        <v>800</v>
      </c>
    </row>
    <row r="6" spans="1:2">
      <c r="A6" s="22">
        <v>2453.75</v>
      </c>
      <c r="B6" s="22">
        <v>1000</v>
      </c>
    </row>
    <row r="7" spans="1:2">
      <c r="A7" s="22">
        <v>2455.1</v>
      </c>
      <c r="B7" s="22">
        <v>1500</v>
      </c>
    </row>
    <row r="8" spans="1:2">
      <c r="A8" s="22">
        <v>2456.15</v>
      </c>
      <c r="B8" s="22">
        <v>2000</v>
      </c>
    </row>
    <row r="9" spans="1:2">
      <c r="A9" s="22">
        <v>2457.15</v>
      </c>
      <c r="B9" s="22">
        <v>2500</v>
      </c>
    </row>
    <row r="10" spans="1:2">
      <c r="A10" s="22">
        <v>2458.1</v>
      </c>
      <c r="B10" s="22">
        <v>3000</v>
      </c>
    </row>
    <row r="11" spans="1:2">
      <c r="A11" s="22">
        <v>2459.8000000000002</v>
      </c>
      <c r="B11" s="22">
        <v>4000</v>
      </c>
    </row>
    <row r="12" spans="1:2">
      <c r="A12" s="22">
        <v>2461.3000000000002</v>
      </c>
      <c r="B12" s="22">
        <v>5000</v>
      </c>
    </row>
    <row r="13" spans="1:2">
      <c r="A13" s="22">
        <v>2462.83</v>
      </c>
      <c r="B13" s="22">
        <v>6000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2"/>
  <sheetViews>
    <sheetView zoomScale="113" workbookViewId="0">
      <selection activeCell="B47" sqref="B47"/>
    </sheetView>
  </sheetViews>
  <sheetFormatPr baseColWidth="10" defaultColWidth="9" defaultRowHeight="15"/>
  <sheetData>
    <row r="1" spans="1:2">
      <c r="A1" s="21" t="s">
        <v>87</v>
      </c>
      <c r="B1" s="21" t="s">
        <v>89</v>
      </c>
    </row>
    <row r="2" spans="1:2" ht="16">
      <c r="A2" s="69">
        <v>2530</v>
      </c>
      <c r="B2" s="70">
        <v>42.63</v>
      </c>
    </row>
    <row r="3" spans="1:2" ht="16">
      <c r="A3" s="69">
        <v>2531</v>
      </c>
      <c r="B3" s="70">
        <v>44.25</v>
      </c>
    </row>
    <row r="4" spans="1:2" ht="16">
      <c r="A4" s="69">
        <v>2532</v>
      </c>
      <c r="B4" s="70">
        <v>45.88</v>
      </c>
    </row>
    <row r="5" spans="1:2" ht="16">
      <c r="A5" s="69">
        <v>2533</v>
      </c>
      <c r="B5" s="70">
        <v>47.54</v>
      </c>
    </row>
    <row r="6" spans="1:2" ht="16">
      <c r="A6" s="69">
        <v>2534</v>
      </c>
      <c r="B6" s="70">
        <v>49.23</v>
      </c>
    </row>
    <row r="7" spans="1:2" ht="16">
      <c r="A7" s="69">
        <v>2535</v>
      </c>
      <c r="B7" s="70">
        <v>50.94</v>
      </c>
    </row>
    <row r="8" spans="1:2" ht="16">
      <c r="A8" s="69">
        <v>2536</v>
      </c>
      <c r="B8" s="70">
        <v>52.69</v>
      </c>
    </row>
    <row r="9" spans="1:2" ht="16">
      <c r="A9" s="69">
        <v>2537</v>
      </c>
      <c r="B9" s="70">
        <v>54.46</v>
      </c>
    </row>
    <row r="10" spans="1:2" ht="16">
      <c r="A10" s="69">
        <v>2538</v>
      </c>
      <c r="B10" s="70">
        <v>56.27</v>
      </c>
    </row>
    <row r="11" spans="1:2" ht="16">
      <c r="A11" s="69">
        <v>2539</v>
      </c>
      <c r="B11" s="70">
        <v>58.14</v>
      </c>
    </row>
    <row r="12" spans="1:2" ht="16">
      <c r="A12" s="69">
        <v>2540</v>
      </c>
      <c r="B12" s="70">
        <v>60.04</v>
      </c>
    </row>
    <row r="13" spans="1:2" ht="16">
      <c r="A13" s="69">
        <v>2541</v>
      </c>
      <c r="B13" s="70">
        <v>61.98</v>
      </c>
    </row>
    <row r="14" spans="1:2" ht="16">
      <c r="A14" s="69">
        <v>2542</v>
      </c>
      <c r="B14" s="70">
        <v>63.95</v>
      </c>
    </row>
    <row r="15" spans="1:2" ht="16">
      <c r="A15" s="69">
        <v>2543</v>
      </c>
      <c r="B15" s="70">
        <v>65.97</v>
      </c>
    </row>
    <row r="16" spans="1:2" ht="16">
      <c r="A16" s="69">
        <v>2544</v>
      </c>
      <c r="B16" s="70">
        <v>68.02</v>
      </c>
    </row>
    <row r="17" spans="1:2" ht="16">
      <c r="A17" s="69">
        <v>2545</v>
      </c>
      <c r="B17" s="70">
        <v>70.11</v>
      </c>
    </row>
    <row r="18" spans="1:2" ht="16">
      <c r="A18" s="69">
        <v>2546</v>
      </c>
      <c r="B18" s="70">
        <v>72.239999999999995</v>
      </c>
    </row>
    <row r="19" spans="1:2" ht="16">
      <c r="A19" s="69">
        <v>2547</v>
      </c>
      <c r="B19" s="70">
        <v>74.41</v>
      </c>
    </row>
    <row r="20" spans="1:2" ht="16">
      <c r="A20" s="69">
        <v>2548</v>
      </c>
      <c r="B20" s="70">
        <v>76.61</v>
      </c>
    </row>
    <row r="21" spans="1:2" ht="16">
      <c r="A21" s="69">
        <v>2549</v>
      </c>
      <c r="B21" s="70">
        <v>78.849999999999994</v>
      </c>
    </row>
    <row r="22" spans="1:2" ht="16">
      <c r="A22" s="69">
        <v>2550</v>
      </c>
      <c r="B22" s="70">
        <v>81.13</v>
      </c>
    </row>
    <row r="23" spans="1:2" ht="16">
      <c r="A23" s="69">
        <v>2551</v>
      </c>
      <c r="B23" s="70">
        <v>83.44</v>
      </c>
    </row>
    <row r="24" spans="1:2" ht="16">
      <c r="A24" s="69">
        <v>2552</v>
      </c>
      <c r="B24" s="70">
        <v>85.78</v>
      </c>
    </row>
    <row r="25" spans="1:2" ht="16">
      <c r="A25" s="69">
        <v>2553</v>
      </c>
      <c r="B25" s="70">
        <v>88.16</v>
      </c>
    </row>
    <row r="26" spans="1:2" ht="16">
      <c r="A26" s="69">
        <v>2554</v>
      </c>
      <c r="B26" s="70">
        <v>90.57</v>
      </c>
    </row>
    <row r="27" spans="1:2" ht="16">
      <c r="A27" s="69">
        <v>2555</v>
      </c>
      <c r="B27" s="70">
        <v>93.02</v>
      </c>
    </row>
    <row r="28" spans="1:2" ht="16">
      <c r="A28" s="69">
        <v>2556</v>
      </c>
      <c r="B28" s="70">
        <v>95.5</v>
      </c>
    </row>
    <row r="29" spans="1:2" ht="16">
      <c r="A29" s="69">
        <v>2557</v>
      </c>
      <c r="B29" s="70">
        <v>98.02</v>
      </c>
    </row>
    <row r="30" spans="1:2" ht="16">
      <c r="A30" s="69">
        <v>2558</v>
      </c>
      <c r="B30" s="70">
        <v>100.6</v>
      </c>
    </row>
    <row r="31" spans="1:2" ht="16">
      <c r="A31" s="69">
        <v>2559</v>
      </c>
      <c r="B31" s="70">
        <v>103.2</v>
      </c>
    </row>
    <row r="32" spans="1:2" ht="16">
      <c r="A32" s="69">
        <v>2560</v>
      </c>
      <c r="B32" s="70">
        <v>105.8</v>
      </c>
    </row>
    <row r="33" spans="1:2" ht="16">
      <c r="A33" s="69">
        <v>2561</v>
      </c>
      <c r="B33" s="70">
        <v>108.4</v>
      </c>
    </row>
    <row r="34" spans="1:2" ht="16">
      <c r="A34" s="69">
        <v>2562</v>
      </c>
      <c r="B34" s="70">
        <v>111.1</v>
      </c>
    </row>
    <row r="35" spans="1:2" ht="16">
      <c r="A35" s="69">
        <v>2563</v>
      </c>
      <c r="B35" s="70">
        <v>113.9</v>
      </c>
    </row>
    <row r="36" spans="1:2" ht="16">
      <c r="A36" s="69">
        <v>2564</v>
      </c>
      <c r="B36" s="70">
        <v>116.6</v>
      </c>
    </row>
    <row r="37" spans="1:2" ht="16">
      <c r="A37" s="69">
        <v>2565</v>
      </c>
      <c r="B37" s="70">
        <v>119.4</v>
      </c>
    </row>
    <row r="38" spans="1:2" ht="16">
      <c r="A38" s="69">
        <v>2566</v>
      </c>
      <c r="B38" s="70">
        <v>122.2</v>
      </c>
    </row>
    <row r="39" spans="1:2" ht="16">
      <c r="A39" s="69">
        <v>2567</v>
      </c>
      <c r="B39" s="70">
        <v>125.1</v>
      </c>
    </row>
    <row r="40" spans="1:2" ht="16">
      <c r="A40" s="69">
        <v>2568</v>
      </c>
      <c r="B40" s="70">
        <v>128</v>
      </c>
    </row>
    <row r="41" spans="1:2" ht="16">
      <c r="A41" s="69">
        <v>2569</v>
      </c>
      <c r="B41" s="70">
        <v>130.9</v>
      </c>
    </row>
    <row r="42" spans="1:2" ht="16">
      <c r="A42" s="69">
        <v>2570</v>
      </c>
      <c r="B42" s="70">
        <v>133.9</v>
      </c>
    </row>
    <row r="43" spans="1:2" ht="16">
      <c r="A43" s="69">
        <v>2571</v>
      </c>
      <c r="B43" s="70">
        <v>136.9</v>
      </c>
    </row>
    <row r="44" spans="1:2" ht="16">
      <c r="A44" s="69">
        <v>2572</v>
      </c>
      <c r="B44" s="70">
        <v>139.9</v>
      </c>
    </row>
    <row r="45" spans="1:2" ht="16">
      <c r="A45" s="69">
        <v>2573</v>
      </c>
      <c r="B45" s="70">
        <v>143</v>
      </c>
    </row>
    <row r="46" spans="1:2" ht="16">
      <c r="A46" s="69">
        <v>2574</v>
      </c>
      <c r="B46" s="70">
        <v>146.1</v>
      </c>
    </row>
    <row r="47" spans="1:2" ht="16">
      <c r="A47" s="69">
        <v>2575</v>
      </c>
      <c r="B47" s="70">
        <v>149.30000000000001</v>
      </c>
    </row>
    <row r="48" spans="1:2" ht="16">
      <c r="A48" s="69">
        <v>2576</v>
      </c>
      <c r="B48" s="70">
        <v>152.6</v>
      </c>
    </row>
    <row r="49" spans="1:2" ht="16">
      <c r="A49" s="69">
        <v>2577</v>
      </c>
      <c r="B49" s="70">
        <v>155.9</v>
      </c>
    </row>
    <row r="50" spans="1:2" ht="16">
      <c r="A50" s="69">
        <v>2578</v>
      </c>
      <c r="B50" s="70">
        <v>159.19999999999999</v>
      </c>
    </row>
    <row r="51" spans="1:2" ht="16">
      <c r="A51" s="69">
        <v>2579</v>
      </c>
      <c r="B51" s="70">
        <v>162.69999999999999</v>
      </c>
    </row>
    <row r="52" spans="1:2" ht="16">
      <c r="A52" s="69">
        <v>2580</v>
      </c>
      <c r="B52" s="70">
        <v>166.1</v>
      </c>
    </row>
    <row r="53" spans="1:2" ht="16">
      <c r="A53" s="69">
        <v>2581</v>
      </c>
      <c r="B53" s="70">
        <v>169.6</v>
      </c>
    </row>
    <row r="54" spans="1:2" ht="16">
      <c r="A54" s="69">
        <v>2582</v>
      </c>
      <c r="B54" s="70">
        <v>173.2</v>
      </c>
    </row>
    <row r="55" spans="1:2" ht="16">
      <c r="A55" s="69">
        <v>2583</v>
      </c>
      <c r="B55" s="70">
        <v>176.7</v>
      </c>
    </row>
    <row r="56" spans="1:2" ht="16">
      <c r="A56" s="69">
        <v>2584</v>
      </c>
      <c r="B56" s="70">
        <v>180.3</v>
      </c>
    </row>
    <row r="57" spans="1:2" ht="16">
      <c r="A57" s="69">
        <v>2585</v>
      </c>
      <c r="B57" s="70">
        <v>184</v>
      </c>
    </row>
    <row r="58" spans="1:2" ht="16">
      <c r="A58" s="69">
        <v>2586</v>
      </c>
      <c r="B58" s="70">
        <v>187.7</v>
      </c>
    </row>
    <row r="59" spans="1:2" ht="16">
      <c r="A59" s="69">
        <v>2587</v>
      </c>
      <c r="B59" s="70">
        <v>191.4</v>
      </c>
    </row>
    <row r="60" spans="1:2" ht="16">
      <c r="A60" s="69">
        <v>2588</v>
      </c>
      <c r="B60" s="70">
        <v>195.2</v>
      </c>
    </row>
    <row r="61" spans="1:2" ht="16">
      <c r="A61" s="69">
        <v>2589</v>
      </c>
      <c r="B61" s="70">
        <v>199</v>
      </c>
    </row>
    <row r="62" spans="1:2" ht="16">
      <c r="A62" s="69">
        <v>2590</v>
      </c>
      <c r="B62" s="70">
        <v>202.8</v>
      </c>
    </row>
    <row r="63" spans="1:2" ht="16">
      <c r="A63" s="69">
        <v>2591</v>
      </c>
      <c r="B63" s="70">
        <v>206.7</v>
      </c>
    </row>
    <row r="64" spans="1:2" ht="16">
      <c r="A64" s="69">
        <v>2592</v>
      </c>
      <c r="B64" s="70">
        <v>210.6</v>
      </c>
    </row>
    <row r="65" spans="1:2" ht="16">
      <c r="A65" s="69">
        <v>2593</v>
      </c>
      <c r="B65" s="70">
        <v>214.5</v>
      </c>
    </row>
    <row r="66" spans="1:2" ht="16">
      <c r="A66" s="69">
        <v>2594</v>
      </c>
      <c r="B66" s="70">
        <v>218.5</v>
      </c>
    </row>
    <row r="67" spans="1:2" ht="16">
      <c r="A67" s="69">
        <v>2595</v>
      </c>
      <c r="B67" s="70">
        <v>222.4</v>
      </c>
    </row>
    <row r="68" spans="1:2" ht="16">
      <c r="A68" s="69">
        <v>2596</v>
      </c>
      <c r="B68" s="70">
        <v>226.5</v>
      </c>
    </row>
    <row r="69" spans="1:2" ht="16">
      <c r="A69" s="69">
        <v>2597</v>
      </c>
      <c r="B69" s="70">
        <v>230.5</v>
      </c>
    </row>
    <row r="70" spans="1:2" ht="16">
      <c r="A70" s="69">
        <v>2598</v>
      </c>
      <c r="B70" s="70">
        <v>234.6</v>
      </c>
    </row>
    <row r="71" spans="1:2" ht="16">
      <c r="A71" s="69">
        <v>2599</v>
      </c>
      <c r="B71" s="70">
        <v>238.7</v>
      </c>
    </row>
    <row r="72" spans="1:2" ht="16">
      <c r="A72" s="69">
        <v>2600</v>
      </c>
      <c r="B72" s="70">
        <v>242.9</v>
      </c>
    </row>
    <row r="73" spans="1:2" ht="16">
      <c r="A73" s="69">
        <v>2601</v>
      </c>
      <c r="B73" s="70">
        <v>247</v>
      </c>
    </row>
    <row r="74" spans="1:2" ht="16">
      <c r="A74" s="69">
        <v>2602</v>
      </c>
      <c r="B74" s="70">
        <v>251.2</v>
      </c>
    </row>
    <row r="75" spans="1:2" ht="16">
      <c r="A75" s="69">
        <v>2603</v>
      </c>
      <c r="B75" s="70">
        <v>255.4</v>
      </c>
    </row>
    <row r="76" spans="1:2" ht="16">
      <c r="A76" s="69">
        <v>2604</v>
      </c>
      <c r="B76" s="70">
        <v>259.7</v>
      </c>
    </row>
    <row r="77" spans="1:2" ht="16">
      <c r="A77" s="69">
        <v>2605</v>
      </c>
      <c r="B77" s="70">
        <v>264</v>
      </c>
    </row>
    <row r="78" spans="1:2" ht="16">
      <c r="A78" s="69">
        <v>2606</v>
      </c>
      <c r="B78" s="70">
        <v>272.60000000000002</v>
      </c>
    </row>
    <row r="79" spans="1:2" ht="16">
      <c r="A79" s="69">
        <v>2607</v>
      </c>
      <c r="B79" s="70">
        <v>272.60000000000002</v>
      </c>
    </row>
    <row r="80" spans="1:2" ht="16">
      <c r="A80" s="69">
        <v>2608</v>
      </c>
      <c r="B80" s="70">
        <v>277</v>
      </c>
    </row>
    <row r="81" spans="1:2" ht="16">
      <c r="A81" s="69">
        <v>2609</v>
      </c>
      <c r="B81" s="70">
        <v>281.39999999999998</v>
      </c>
    </row>
    <row r="82" spans="1:2" ht="16">
      <c r="A82" s="69">
        <v>2610</v>
      </c>
      <c r="B82" s="70">
        <v>285.8</v>
      </c>
    </row>
  </sheetData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selection activeCell="B21" sqref="B21"/>
    </sheetView>
  </sheetViews>
  <sheetFormatPr baseColWidth="10" defaultColWidth="9" defaultRowHeight="15"/>
  <sheetData>
    <row r="1" spans="1:2">
      <c r="A1" s="19" t="s">
        <v>87</v>
      </c>
      <c r="B1" s="19" t="s">
        <v>88</v>
      </c>
    </row>
    <row r="2" spans="1:2">
      <c r="A2" s="20">
        <v>1622.3</v>
      </c>
      <c r="B2" s="20">
        <v>200</v>
      </c>
    </row>
    <row r="3" spans="1:2">
      <c r="A3" s="20">
        <v>1622.8</v>
      </c>
      <c r="B3" s="20">
        <v>300</v>
      </c>
    </row>
    <row r="4" spans="1:2">
      <c r="A4" s="20">
        <v>1623.8</v>
      </c>
      <c r="B4" s="20">
        <v>500</v>
      </c>
    </row>
    <row r="5" spans="1:2">
      <c r="A5" s="20">
        <v>1624.5</v>
      </c>
      <c r="B5" s="20">
        <v>700</v>
      </c>
    </row>
    <row r="6" spans="1:2">
      <c r="A6" s="20">
        <v>1625.3</v>
      </c>
      <c r="B6" s="20">
        <v>1000</v>
      </c>
    </row>
    <row r="7" spans="1:2">
      <c r="A7" s="20">
        <v>1625.6</v>
      </c>
      <c r="B7" s="20">
        <v>1200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5"/>
  <sheetViews>
    <sheetView topLeftCell="A59" zoomScale="150" workbookViewId="0">
      <selection activeCell="D66" sqref="D66"/>
    </sheetView>
  </sheetViews>
  <sheetFormatPr baseColWidth="10" defaultColWidth="9" defaultRowHeight="15"/>
  <sheetData>
    <row r="1" spans="1:2">
      <c r="A1" s="16" t="s">
        <v>87</v>
      </c>
      <c r="B1" s="16" t="s">
        <v>89</v>
      </c>
    </row>
    <row r="2" spans="1:2" ht="16">
      <c r="A2" s="71">
        <v>1665</v>
      </c>
      <c r="B2" s="71">
        <v>0.36</v>
      </c>
    </row>
    <row r="3" spans="1:2" ht="16">
      <c r="A3" s="71">
        <v>1666</v>
      </c>
      <c r="B3" s="71">
        <v>0.375</v>
      </c>
    </row>
    <row r="4" spans="1:2" ht="16">
      <c r="A4" s="71">
        <v>1667</v>
      </c>
      <c r="B4" s="71">
        <v>0.39</v>
      </c>
    </row>
    <row r="5" spans="1:2" ht="16">
      <c r="A5" s="71">
        <v>1668</v>
      </c>
      <c r="B5" s="71">
        <v>0.40699999999999997</v>
      </c>
    </row>
    <row r="6" spans="1:2" ht="16">
      <c r="A6" s="71">
        <v>1669</v>
      </c>
      <c r="B6" s="71">
        <v>0.42299999999999999</v>
      </c>
    </row>
    <row r="7" spans="1:2" ht="16">
      <c r="A7" s="71">
        <v>1670</v>
      </c>
      <c r="B7" s="71">
        <v>0.441</v>
      </c>
    </row>
    <row r="8" spans="1:2" ht="16">
      <c r="A8" s="71">
        <v>1671</v>
      </c>
      <c r="B8" s="71">
        <v>0.45900000000000002</v>
      </c>
    </row>
    <row r="9" spans="1:2" ht="16">
      <c r="A9" s="71">
        <v>1672</v>
      </c>
      <c r="B9" s="71">
        <v>0.47799999999999998</v>
      </c>
    </row>
    <row r="10" spans="1:2" ht="16">
      <c r="A10" s="71">
        <v>1673</v>
      </c>
      <c r="B10" s="71">
        <v>0.498</v>
      </c>
    </row>
    <row r="11" spans="1:2" ht="16">
      <c r="A11" s="71">
        <v>1674</v>
      </c>
      <c r="B11" s="71">
        <v>0.51900000000000002</v>
      </c>
    </row>
    <row r="12" spans="1:2" ht="16">
      <c r="A12" s="71">
        <v>1675</v>
      </c>
      <c r="B12" s="71">
        <v>0.54</v>
      </c>
    </row>
    <row r="13" spans="1:2" ht="16">
      <c r="A13" s="71">
        <v>1676</v>
      </c>
      <c r="B13" s="71">
        <v>0.66</v>
      </c>
    </row>
    <row r="14" spans="1:2" ht="16">
      <c r="A14" s="71">
        <v>1677</v>
      </c>
      <c r="B14" s="71">
        <v>0.80900000000000005</v>
      </c>
    </row>
    <row r="15" spans="1:2" ht="16">
      <c r="A15" s="71">
        <v>1678</v>
      </c>
      <c r="B15" s="71">
        <v>0.97799999999999998</v>
      </c>
    </row>
    <row r="16" spans="1:2" ht="16">
      <c r="A16" s="71">
        <v>1679</v>
      </c>
      <c r="B16" s="71">
        <v>1.1619999999999999</v>
      </c>
    </row>
    <row r="17" spans="1:2" ht="16">
      <c r="A17" s="71">
        <v>1680</v>
      </c>
      <c r="B17" s="71">
        <v>1.3580000000000001</v>
      </c>
    </row>
    <row r="18" spans="1:2" ht="16">
      <c r="A18" s="71">
        <v>1681</v>
      </c>
      <c r="B18" s="71">
        <v>1.5720000000000001</v>
      </c>
    </row>
    <row r="19" spans="1:2" ht="16">
      <c r="A19" s="71">
        <v>1682</v>
      </c>
      <c r="B19" s="71">
        <v>1.806</v>
      </c>
    </row>
    <row r="20" spans="1:2" ht="16">
      <c r="A20" s="71">
        <v>1683</v>
      </c>
      <c r="B20" s="71">
        <v>2.0550000000000002</v>
      </c>
    </row>
    <row r="21" spans="1:2" ht="16">
      <c r="A21" s="71">
        <v>1684</v>
      </c>
      <c r="B21" s="71">
        <v>2.3340000000000001</v>
      </c>
    </row>
    <row r="22" spans="1:2" ht="16">
      <c r="A22" s="71">
        <v>1685</v>
      </c>
      <c r="B22" s="71">
        <v>2.62</v>
      </c>
    </row>
    <row r="23" spans="1:2" ht="16">
      <c r="A23" s="71">
        <v>1686</v>
      </c>
      <c r="B23" s="71">
        <v>2.9369999999999998</v>
      </c>
    </row>
    <row r="24" spans="1:2" ht="16">
      <c r="A24" s="71">
        <v>1687</v>
      </c>
      <c r="B24" s="71">
        <v>3.294</v>
      </c>
    </row>
    <row r="25" spans="1:2" ht="16">
      <c r="A25" s="71">
        <v>1688</v>
      </c>
      <c r="B25" s="71">
        <v>3.661</v>
      </c>
    </row>
    <row r="26" spans="1:2" ht="16">
      <c r="A26" s="71">
        <v>1689</v>
      </c>
      <c r="B26" s="71">
        <v>4.048</v>
      </c>
    </row>
    <row r="27" spans="1:2" ht="16">
      <c r="A27" s="71">
        <v>1690</v>
      </c>
      <c r="B27" s="71">
        <v>4.4450000000000003</v>
      </c>
    </row>
    <row r="28" spans="1:2" ht="16">
      <c r="A28" s="71">
        <v>1691</v>
      </c>
      <c r="B28" s="71">
        <v>4.8719999999999999</v>
      </c>
    </row>
    <row r="29" spans="1:2" ht="16">
      <c r="A29" s="71">
        <v>1692</v>
      </c>
      <c r="B29" s="71">
        <v>5.3090000000000002</v>
      </c>
    </row>
    <row r="30" spans="1:2" ht="16">
      <c r="A30" s="71">
        <v>1693</v>
      </c>
      <c r="B30" s="71">
        <v>5.766</v>
      </c>
    </row>
    <row r="31" spans="1:2" ht="16">
      <c r="A31" s="71">
        <v>1694</v>
      </c>
      <c r="B31" s="71">
        <v>6.2229999999999999</v>
      </c>
    </row>
    <row r="32" spans="1:2" ht="16">
      <c r="A32" s="71">
        <v>1695</v>
      </c>
      <c r="B32" s="71">
        <v>6.69</v>
      </c>
    </row>
    <row r="33" spans="1:2" ht="16">
      <c r="A33" s="71">
        <v>1696</v>
      </c>
      <c r="B33" s="71">
        <v>7.1769999999999996</v>
      </c>
    </row>
    <row r="34" spans="1:2" ht="16">
      <c r="A34" s="71">
        <v>1697</v>
      </c>
      <c r="B34" s="71">
        <v>7.6740000000000004</v>
      </c>
    </row>
    <row r="35" spans="1:2" ht="16">
      <c r="A35" s="71">
        <v>1698</v>
      </c>
      <c r="B35" s="71">
        <v>8.1709999999999994</v>
      </c>
    </row>
    <row r="36" spans="1:2" ht="16">
      <c r="A36" s="71">
        <v>1699</v>
      </c>
      <c r="B36" s="71">
        <v>8.6679999999999993</v>
      </c>
    </row>
    <row r="37" spans="1:2" ht="16">
      <c r="A37" s="71">
        <v>1700</v>
      </c>
      <c r="B37" s="71">
        <v>9.1750000000000007</v>
      </c>
    </row>
    <row r="38" spans="1:2" ht="16">
      <c r="A38" s="71">
        <v>1701</v>
      </c>
      <c r="B38" s="71">
        <v>9.6969999999999992</v>
      </c>
    </row>
    <row r="39" spans="1:2" ht="16">
      <c r="A39" s="71">
        <v>1702</v>
      </c>
      <c r="B39" s="71">
        <v>10.228999999999999</v>
      </c>
    </row>
    <row r="40" spans="1:2" ht="16">
      <c r="A40" s="71">
        <v>1703</v>
      </c>
      <c r="B40" s="71">
        <v>10.773999999999999</v>
      </c>
    </row>
    <row r="41" spans="1:2" ht="16">
      <c r="A41" s="71">
        <v>1704</v>
      </c>
      <c r="B41" s="71">
        <v>11.355</v>
      </c>
    </row>
    <row r="42" spans="1:2" ht="16">
      <c r="A42" s="71">
        <v>1705</v>
      </c>
      <c r="B42" s="71">
        <v>11.94</v>
      </c>
    </row>
    <row r="43" spans="1:2" ht="16">
      <c r="A43" s="71">
        <v>1706</v>
      </c>
      <c r="B43" s="71">
        <v>12.532999999999999</v>
      </c>
    </row>
    <row r="44" spans="1:2" ht="16">
      <c r="A44" s="71">
        <v>1707</v>
      </c>
      <c r="B44" s="71">
        <v>13.134</v>
      </c>
    </row>
    <row r="45" spans="1:2" ht="16">
      <c r="A45" s="71">
        <v>1708</v>
      </c>
      <c r="B45" s="71">
        <v>13.739000000000001</v>
      </c>
    </row>
    <row r="46" spans="1:2" ht="16">
      <c r="A46" s="71">
        <v>1709</v>
      </c>
      <c r="B46" s="71">
        <v>14.349</v>
      </c>
    </row>
    <row r="47" spans="1:2" ht="16">
      <c r="A47" s="71">
        <v>1710</v>
      </c>
      <c r="B47" s="71">
        <v>14.964</v>
      </c>
    </row>
    <row r="48" spans="1:2" ht="16">
      <c r="A48" s="71">
        <v>1711</v>
      </c>
      <c r="B48" s="71">
        <v>15.586</v>
      </c>
    </row>
    <row r="49" spans="1:2" ht="16">
      <c r="A49" s="71">
        <v>1712</v>
      </c>
      <c r="B49" s="71">
        <v>16.23</v>
      </c>
    </row>
    <row r="50" spans="1:2" ht="16">
      <c r="A50" s="71">
        <v>1713</v>
      </c>
      <c r="B50" s="71">
        <v>16.913</v>
      </c>
    </row>
    <row r="51" spans="1:2" ht="16">
      <c r="A51" s="71">
        <v>1714</v>
      </c>
      <c r="B51" s="71">
        <v>17.614000000000001</v>
      </c>
    </row>
    <row r="52" spans="1:2" ht="16">
      <c r="A52" s="71">
        <v>1715</v>
      </c>
      <c r="B52" s="71">
        <v>18.32</v>
      </c>
    </row>
    <row r="53" spans="1:2" ht="16">
      <c r="A53" s="71">
        <v>1716</v>
      </c>
      <c r="B53" s="71">
        <v>19.091000000000001</v>
      </c>
    </row>
    <row r="54" spans="1:2" ht="16">
      <c r="A54" s="71">
        <v>1717</v>
      </c>
      <c r="B54" s="71">
        <v>19.882000000000001</v>
      </c>
    </row>
    <row r="55" spans="1:2" ht="16">
      <c r="A55" s="71">
        <v>1718</v>
      </c>
      <c r="B55" s="71">
        <v>20.683</v>
      </c>
    </row>
    <row r="56" spans="1:2" ht="16">
      <c r="A56" s="71">
        <v>1719</v>
      </c>
      <c r="B56" s="71">
        <v>21.504000000000001</v>
      </c>
    </row>
    <row r="57" spans="1:2" ht="16">
      <c r="A57" s="71">
        <v>1720</v>
      </c>
      <c r="B57" s="71">
        <v>22.395</v>
      </c>
    </row>
    <row r="58" spans="1:2" ht="16">
      <c r="A58" s="71">
        <v>1721</v>
      </c>
      <c r="B58" s="71">
        <v>23.306000000000001</v>
      </c>
    </row>
    <row r="59" spans="1:2" ht="16">
      <c r="A59" s="71">
        <v>1722</v>
      </c>
      <c r="B59" s="71">
        <v>24.306999999999999</v>
      </c>
    </row>
    <row r="60" spans="1:2" ht="16">
      <c r="A60" s="71">
        <v>1723</v>
      </c>
      <c r="B60" s="71">
        <v>25.331</v>
      </c>
    </row>
    <row r="61" spans="1:2" ht="16">
      <c r="A61" s="71">
        <v>1724</v>
      </c>
      <c r="B61" s="71">
        <v>26.364999999999998</v>
      </c>
    </row>
    <row r="62" spans="1:2" ht="16">
      <c r="A62" s="71">
        <v>1725</v>
      </c>
      <c r="B62" s="71">
        <v>27.41</v>
      </c>
    </row>
    <row r="63" spans="1:2" ht="16">
      <c r="A63" s="71">
        <v>1726</v>
      </c>
      <c r="B63" s="71">
        <v>28.547999999999998</v>
      </c>
    </row>
    <row r="64" spans="1:2" ht="16">
      <c r="A64" s="71">
        <v>1727</v>
      </c>
      <c r="B64" s="71">
        <v>29.745999999999999</v>
      </c>
    </row>
    <row r="65" spans="1:2" ht="16">
      <c r="A65" s="71">
        <v>1728</v>
      </c>
      <c r="B65" s="71">
        <v>30.963999999999999</v>
      </c>
    </row>
    <row r="66" spans="1:2" ht="16">
      <c r="A66" s="71">
        <v>1729</v>
      </c>
      <c r="B66" s="71">
        <v>32.192999999999998</v>
      </c>
    </row>
    <row r="67" spans="1:2" ht="16">
      <c r="A67" s="71">
        <v>1730</v>
      </c>
      <c r="B67" s="71">
        <v>33.459000000000003</v>
      </c>
    </row>
    <row r="68" spans="1:2" ht="16">
      <c r="A68" s="71">
        <v>1731</v>
      </c>
      <c r="B68" s="71">
        <v>34.728000000000002</v>
      </c>
    </row>
    <row r="69" spans="1:2" ht="16">
      <c r="A69" s="71">
        <v>1732</v>
      </c>
      <c r="B69" s="71">
        <v>36.026000000000003</v>
      </c>
    </row>
    <row r="70" spans="1:2" ht="16">
      <c r="A70" s="71">
        <v>1733</v>
      </c>
      <c r="B70" s="71">
        <v>37.323999999999998</v>
      </c>
    </row>
    <row r="71" spans="1:2" ht="16">
      <c r="A71" s="71">
        <v>1734</v>
      </c>
      <c r="B71" s="71">
        <v>38.622</v>
      </c>
    </row>
    <row r="72" spans="1:2" ht="16">
      <c r="A72" s="71">
        <v>1735</v>
      </c>
      <c r="B72" s="71">
        <v>39.93</v>
      </c>
    </row>
    <row r="73" spans="1:2" ht="16">
      <c r="A73" s="71">
        <v>1736</v>
      </c>
      <c r="B73" s="71">
        <v>41.24</v>
      </c>
    </row>
    <row r="74" spans="1:2" ht="16">
      <c r="A74" s="71">
        <v>1737</v>
      </c>
      <c r="B74" s="71">
        <v>42.63</v>
      </c>
    </row>
    <row r="75" spans="1:2" ht="16">
      <c r="A75" s="71">
        <v>1738</v>
      </c>
      <c r="B75" s="71">
        <v>44.01</v>
      </c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zoomScale="144" workbookViewId="0">
      <selection activeCell="H12" sqref="H12"/>
    </sheetView>
  </sheetViews>
  <sheetFormatPr baseColWidth="10" defaultColWidth="9" defaultRowHeight="15"/>
  <cols>
    <col min="2" max="2" width="14.6640625" customWidth="1"/>
    <col min="3" max="3" width="13.1640625" customWidth="1"/>
  </cols>
  <sheetData>
    <row r="1" spans="1:7">
      <c r="A1" s="17" t="s">
        <v>90</v>
      </c>
      <c r="B1" s="17" t="s">
        <v>91</v>
      </c>
      <c r="C1" s="17" t="s">
        <v>92</v>
      </c>
      <c r="D1" s="17" t="s">
        <v>93</v>
      </c>
      <c r="E1" s="17" t="s">
        <v>94</v>
      </c>
      <c r="F1" s="17" t="s">
        <v>95</v>
      </c>
    </row>
    <row r="2" spans="1:7">
      <c r="A2" s="18" t="s">
        <v>96</v>
      </c>
      <c r="B2" s="67">
        <v>587</v>
      </c>
      <c r="C2" s="18">
        <v>1280</v>
      </c>
      <c r="D2" s="18">
        <v>8.3000000000000007</v>
      </c>
      <c r="E2" s="18">
        <v>122</v>
      </c>
      <c r="F2" s="18">
        <v>0</v>
      </c>
      <c r="G2">
        <f>B2+B10</f>
        <v>987</v>
      </c>
    </row>
    <row r="3" spans="1:7">
      <c r="A3" s="18" t="s">
        <v>97</v>
      </c>
      <c r="B3" s="18">
        <v>990</v>
      </c>
      <c r="C3" s="18">
        <v>2800</v>
      </c>
      <c r="D3" s="18">
        <v>8.3000000000000007</v>
      </c>
      <c r="E3" s="18">
        <v>205</v>
      </c>
      <c r="F3" s="18">
        <v>0</v>
      </c>
    </row>
    <row r="4" spans="1:7">
      <c r="A4" s="18" t="s">
        <v>98</v>
      </c>
      <c r="B4" s="18">
        <v>75</v>
      </c>
      <c r="C4" s="18">
        <v>160</v>
      </c>
      <c r="D4" s="18">
        <v>8</v>
      </c>
      <c r="E4" s="18">
        <v>15</v>
      </c>
      <c r="F4" s="18">
        <v>0</v>
      </c>
    </row>
    <row r="5" spans="1:7">
      <c r="A5" s="18" t="s">
        <v>99</v>
      </c>
      <c r="B5" s="18">
        <v>580</v>
      </c>
      <c r="C5" s="18">
        <v>1600</v>
      </c>
      <c r="D5" s="18">
        <v>8.3000000000000007</v>
      </c>
      <c r="E5" s="18">
        <v>122</v>
      </c>
      <c r="F5" s="18">
        <v>0</v>
      </c>
    </row>
    <row r="6" spans="1:7">
      <c r="A6" s="18" t="s">
        <v>100</v>
      </c>
      <c r="B6" s="18">
        <v>70</v>
      </c>
      <c r="C6" s="18">
        <v>190</v>
      </c>
      <c r="D6" s="18">
        <v>8.1999999999999993</v>
      </c>
      <c r="E6" s="18">
        <v>12.5</v>
      </c>
      <c r="F6" s="18">
        <v>0</v>
      </c>
    </row>
    <row r="7" spans="1:7">
      <c r="A7" s="18" t="s">
        <v>101</v>
      </c>
      <c r="B7" s="18">
        <v>93</v>
      </c>
      <c r="C7" s="18">
        <v>300</v>
      </c>
      <c r="D7" s="18">
        <v>8.1999999999999993</v>
      </c>
      <c r="E7" s="18">
        <v>18.7</v>
      </c>
      <c r="F7" s="18">
        <v>0</v>
      </c>
    </row>
    <row r="8" spans="1:7">
      <c r="A8" s="18" t="s">
        <v>102</v>
      </c>
      <c r="B8" s="18">
        <v>492</v>
      </c>
      <c r="C8" s="18">
        <v>1500</v>
      </c>
      <c r="D8" s="18">
        <v>8.3000000000000007</v>
      </c>
      <c r="E8" s="18">
        <v>99.3</v>
      </c>
      <c r="F8" s="18">
        <v>0</v>
      </c>
    </row>
    <row r="9" spans="1:7">
      <c r="A9" s="18" t="s">
        <v>103</v>
      </c>
      <c r="B9" s="18">
        <v>85.5</v>
      </c>
      <c r="C9" s="18">
        <v>220</v>
      </c>
      <c r="D9" s="18">
        <v>8.3000000000000007</v>
      </c>
      <c r="E9" s="18">
        <v>16</v>
      </c>
      <c r="F9" s="18">
        <v>0</v>
      </c>
    </row>
    <row r="10" spans="1:7">
      <c r="A10" s="18" t="s">
        <v>104</v>
      </c>
      <c r="B10" s="67">
        <v>400</v>
      </c>
      <c r="C10" s="68">
        <v>1225</v>
      </c>
      <c r="D10" s="18">
        <v>8.3000000000000007</v>
      </c>
      <c r="E10" s="18">
        <v>100</v>
      </c>
      <c r="F10" s="18">
        <v>0</v>
      </c>
    </row>
    <row r="11" spans="1:7">
      <c r="A11" s="18" t="s">
        <v>105</v>
      </c>
      <c r="B11" s="18">
        <v>174</v>
      </c>
      <c r="C11" s="18">
        <v>400</v>
      </c>
      <c r="D11" s="18">
        <v>7.9</v>
      </c>
      <c r="E11" s="18">
        <v>38</v>
      </c>
      <c r="F11" s="18">
        <v>0</v>
      </c>
    </row>
    <row r="12" spans="1:7">
      <c r="A12" s="18" t="s">
        <v>106</v>
      </c>
      <c r="B12" s="18">
        <v>100</v>
      </c>
      <c r="C12" s="18">
        <v>180</v>
      </c>
      <c r="D12" s="18">
        <v>8.5</v>
      </c>
      <c r="E12" s="18">
        <v>18</v>
      </c>
      <c r="F12" s="18">
        <v>0</v>
      </c>
    </row>
    <row r="13" spans="1:7">
      <c r="A13" s="18" t="s">
        <v>107</v>
      </c>
      <c r="B13" s="18">
        <v>94.5</v>
      </c>
      <c r="C13" s="18">
        <v>230</v>
      </c>
      <c r="D13" s="18">
        <v>8.3000000000000007</v>
      </c>
      <c r="E13" s="18">
        <v>13.8</v>
      </c>
      <c r="F13" s="18">
        <v>0</v>
      </c>
    </row>
    <row r="14" spans="1:7">
      <c r="A14" s="18" t="s">
        <v>108</v>
      </c>
      <c r="B14" s="18">
        <v>137.69999999999999</v>
      </c>
      <c r="C14" s="18">
        <v>300</v>
      </c>
      <c r="D14" s="18">
        <v>8.3000000000000007</v>
      </c>
      <c r="E14" s="18">
        <v>24</v>
      </c>
      <c r="F14" s="18">
        <v>0</v>
      </c>
    </row>
    <row r="15" spans="1:7">
      <c r="A15" s="18" t="s">
        <v>109</v>
      </c>
      <c r="B15" s="18">
        <v>90.9</v>
      </c>
      <c r="C15" s="18">
        <v>300</v>
      </c>
      <c r="D15" s="18">
        <v>8.4</v>
      </c>
      <c r="E15" s="18">
        <v>16</v>
      </c>
      <c r="F15" s="18">
        <v>0</v>
      </c>
    </row>
    <row r="16" spans="1:7">
      <c r="A16" s="18" t="s">
        <v>110</v>
      </c>
      <c r="B16" s="18">
        <v>185</v>
      </c>
      <c r="C16" s="18">
        <v>1080</v>
      </c>
      <c r="D16" s="18">
        <v>8.3000000000000007</v>
      </c>
      <c r="F16" s="18">
        <v>957</v>
      </c>
    </row>
    <row r="17" spans="1:6">
      <c r="A17" s="18" t="s">
        <v>111</v>
      </c>
      <c r="B17" s="18">
        <v>113</v>
      </c>
      <c r="C17" s="18">
        <v>250</v>
      </c>
      <c r="D17" s="18">
        <v>8.4</v>
      </c>
      <c r="E17" s="18">
        <v>0</v>
      </c>
      <c r="F17" s="18">
        <v>0</v>
      </c>
    </row>
    <row r="18" spans="1:6">
      <c r="A18" s="18" t="s">
        <v>112</v>
      </c>
      <c r="B18" s="18">
        <v>354</v>
      </c>
      <c r="C18" s="18">
        <v>1800</v>
      </c>
      <c r="D18" s="18">
        <v>8.3000000000000007</v>
      </c>
      <c r="E18" s="18">
        <v>0</v>
      </c>
      <c r="F18" s="18">
        <v>230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25"/>
  <sheetViews>
    <sheetView workbookViewId="0">
      <selection activeCell="G2" sqref="G2"/>
    </sheetView>
  </sheetViews>
  <sheetFormatPr baseColWidth="10" defaultColWidth="9" defaultRowHeight="15"/>
  <cols>
    <col min="3" max="3" width="11.33203125" customWidth="1"/>
    <col min="4" max="4" width="11.33203125" style="5" customWidth="1"/>
  </cols>
  <sheetData>
    <row r="1" spans="1:26" ht="15.75" customHeight="1">
      <c r="A1" s="2" t="s">
        <v>17</v>
      </c>
      <c r="B1" s="3" t="s">
        <v>18</v>
      </c>
      <c r="C1" s="3" t="s">
        <v>3</v>
      </c>
      <c r="D1" s="3" t="s">
        <v>3</v>
      </c>
      <c r="F1" s="3" t="s">
        <v>18</v>
      </c>
      <c r="G1" s="4" t="s">
        <v>5</v>
      </c>
      <c r="H1" s="4" t="s">
        <v>6</v>
      </c>
      <c r="I1" s="4" t="s">
        <v>7</v>
      </c>
      <c r="J1" s="8" t="s">
        <v>8</v>
      </c>
      <c r="K1" s="8" t="s">
        <v>9</v>
      </c>
      <c r="L1" s="8" t="s">
        <v>10</v>
      </c>
      <c r="M1" s="4">
        <v>9</v>
      </c>
      <c r="N1" s="4">
        <v>10</v>
      </c>
      <c r="O1" s="4">
        <v>11</v>
      </c>
      <c r="P1" s="4">
        <v>12</v>
      </c>
      <c r="Q1" s="4">
        <v>1</v>
      </c>
      <c r="R1" s="4">
        <v>2</v>
      </c>
      <c r="S1" s="4">
        <v>3</v>
      </c>
      <c r="T1" s="4">
        <v>4</v>
      </c>
      <c r="U1" s="8" t="s">
        <v>11</v>
      </c>
      <c r="V1" s="8" t="s">
        <v>12</v>
      </c>
      <c r="W1" s="8" t="s">
        <v>13</v>
      </c>
      <c r="X1" s="8" t="s">
        <v>14</v>
      </c>
      <c r="Y1" s="8" t="s">
        <v>15</v>
      </c>
      <c r="Z1" s="8" t="s">
        <v>16</v>
      </c>
    </row>
    <row r="2" spans="1:26">
      <c r="A2" s="5">
        <v>1970</v>
      </c>
      <c r="B2" s="5">
        <v>7</v>
      </c>
      <c r="C2" s="5">
        <v>709</v>
      </c>
      <c r="D2" s="5">
        <v>709</v>
      </c>
      <c r="F2" s="15" t="s">
        <v>46</v>
      </c>
      <c r="G2" s="5">
        <v>709</v>
      </c>
      <c r="H2" s="5">
        <v>709</v>
      </c>
      <c r="I2" s="5">
        <v>709</v>
      </c>
      <c r="J2" s="5">
        <v>1100</v>
      </c>
      <c r="K2" s="5">
        <v>1100</v>
      </c>
      <c r="L2" s="5">
        <v>1100</v>
      </c>
      <c r="M2" s="5">
        <v>535</v>
      </c>
      <c r="N2" s="5">
        <v>584</v>
      </c>
      <c r="O2" s="5">
        <v>331</v>
      </c>
      <c r="P2" s="5">
        <v>160</v>
      </c>
      <c r="Q2" s="5">
        <v>127</v>
      </c>
      <c r="R2" s="5">
        <v>124</v>
      </c>
      <c r="S2" s="5">
        <v>189</v>
      </c>
      <c r="T2" s="5">
        <v>336</v>
      </c>
      <c r="U2" s="5">
        <v>445</v>
      </c>
      <c r="V2" s="5">
        <v>445</v>
      </c>
      <c r="W2" s="5">
        <v>445</v>
      </c>
      <c r="X2" s="5">
        <v>618</v>
      </c>
      <c r="Y2" s="5">
        <v>618</v>
      </c>
      <c r="Z2" s="5">
        <v>618</v>
      </c>
    </row>
    <row r="3" spans="1:26">
      <c r="A3" s="5"/>
      <c r="B3" s="5"/>
      <c r="C3" s="5">
        <v>709</v>
      </c>
      <c r="D3" s="5">
        <v>709</v>
      </c>
      <c r="F3" s="15" t="s">
        <v>47</v>
      </c>
      <c r="G3" s="5">
        <v>656</v>
      </c>
      <c r="H3" s="5">
        <v>656</v>
      </c>
      <c r="I3" s="5">
        <v>656</v>
      </c>
      <c r="J3" s="5">
        <v>605</v>
      </c>
      <c r="K3" s="5">
        <v>605</v>
      </c>
      <c r="L3" s="5">
        <v>605</v>
      </c>
      <c r="M3" s="5">
        <v>1320</v>
      </c>
      <c r="N3" s="5">
        <v>1710</v>
      </c>
      <c r="O3" s="5">
        <v>642</v>
      </c>
      <c r="P3" s="5">
        <v>273</v>
      </c>
      <c r="Q3" s="5">
        <v>212</v>
      </c>
      <c r="R3" s="5">
        <v>196</v>
      </c>
      <c r="S3" s="5">
        <v>275</v>
      </c>
      <c r="T3" s="5">
        <v>424</v>
      </c>
      <c r="U3" s="5">
        <v>709</v>
      </c>
      <c r="V3" s="5">
        <v>709</v>
      </c>
      <c r="W3" s="5">
        <v>709</v>
      </c>
      <c r="X3" s="5">
        <v>1020</v>
      </c>
      <c r="Y3" s="5">
        <v>1020</v>
      </c>
      <c r="Z3" s="5">
        <v>1020</v>
      </c>
    </row>
    <row r="4" spans="1:26">
      <c r="A4" s="5"/>
      <c r="B4" s="5"/>
      <c r="C4" s="5">
        <v>709</v>
      </c>
      <c r="D4" s="5">
        <v>709</v>
      </c>
      <c r="F4" s="15" t="s">
        <v>48</v>
      </c>
      <c r="G4" s="5">
        <v>1920</v>
      </c>
      <c r="H4" s="5">
        <v>1920</v>
      </c>
      <c r="I4" s="5">
        <v>1920</v>
      </c>
      <c r="J4" s="5">
        <v>980</v>
      </c>
      <c r="K4" s="5">
        <v>980</v>
      </c>
      <c r="L4" s="5">
        <v>980</v>
      </c>
      <c r="M4" s="5">
        <v>759</v>
      </c>
      <c r="N4" s="5">
        <v>608</v>
      </c>
      <c r="O4" s="5">
        <v>338</v>
      </c>
      <c r="P4" s="5">
        <v>193</v>
      </c>
      <c r="Q4" s="5">
        <v>161</v>
      </c>
      <c r="R4" s="5">
        <v>160</v>
      </c>
      <c r="S4" s="5">
        <v>211</v>
      </c>
      <c r="T4" s="5">
        <v>273</v>
      </c>
      <c r="U4" s="5">
        <v>542</v>
      </c>
      <c r="V4" s="5">
        <v>542</v>
      </c>
      <c r="W4" s="5">
        <v>542</v>
      </c>
      <c r="X4" s="5">
        <v>1020</v>
      </c>
      <c r="Y4" s="5">
        <v>1020</v>
      </c>
      <c r="Z4" s="5">
        <v>1020</v>
      </c>
    </row>
    <row r="5" spans="1:26">
      <c r="A5" s="5"/>
      <c r="B5" s="5">
        <v>8</v>
      </c>
      <c r="C5" s="5">
        <v>1100</v>
      </c>
      <c r="D5" s="5">
        <v>1100</v>
      </c>
      <c r="F5" s="15" t="s">
        <v>49</v>
      </c>
      <c r="G5" s="5">
        <v>845</v>
      </c>
      <c r="H5" s="5">
        <v>845</v>
      </c>
      <c r="I5" s="5">
        <v>845</v>
      </c>
      <c r="J5" s="5">
        <v>878</v>
      </c>
      <c r="K5" s="5">
        <v>878</v>
      </c>
      <c r="L5" s="5">
        <v>878</v>
      </c>
      <c r="M5" s="5">
        <v>960</v>
      </c>
      <c r="N5" s="5">
        <v>1020</v>
      </c>
      <c r="O5" s="5">
        <v>489</v>
      </c>
      <c r="P5" s="5">
        <v>229</v>
      </c>
      <c r="Q5" s="5">
        <v>146</v>
      </c>
      <c r="R5" s="5">
        <v>155</v>
      </c>
      <c r="S5" s="5">
        <v>208</v>
      </c>
      <c r="T5" s="5">
        <v>299</v>
      </c>
      <c r="U5" s="5">
        <v>489</v>
      </c>
      <c r="V5" s="5">
        <v>489</v>
      </c>
      <c r="W5" s="5">
        <v>489</v>
      </c>
      <c r="X5" s="5">
        <v>875</v>
      </c>
      <c r="Y5" s="5">
        <v>875</v>
      </c>
      <c r="Z5" s="5">
        <v>875</v>
      </c>
    </row>
    <row r="6" spans="1:26">
      <c r="A6" s="5"/>
      <c r="B6" s="5"/>
      <c r="C6" s="5"/>
      <c r="D6" s="5">
        <v>1100</v>
      </c>
      <c r="F6" s="15" t="s">
        <v>50</v>
      </c>
      <c r="G6" s="5">
        <v>857</v>
      </c>
      <c r="H6" s="5">
        <v>857</v>
      </c>
      <c r="I6" s="5">
        <v>857</v>
      </c>
      <c r="J6" s="5">
        <v>997</v>
      </c>
      <c r="K6" s="5">
        <v>997</v>
      </c>
      <c r="L6" s="5">
        <v>997</v>
      </c>
      <c r="M6" s="5">
        <v>1340</v>
      </c>
      <c r="N6" s="5">
        <v>936</v>
      </c>
      <c r="O6" s="5">
        <v>566</v>
      </c>
      <c r="P6" s="5">
        <v>254</v>
      </c>
      <c r="Q6" s="5">
        <v>168</v>
      </c>
      <c r="R6" s="5">
        <v>164</v>
      </c>
      <c r="S6" s="5">
        <v>227</v>
      </c>
      <c r="T6" s="5">
        <v>312</v>
      </c>
      <c r="U6" s="5">
        <v>688</v>
      </c>
      <c r="V6" s="5">
        <v>688</v>
      </c>
      <c r="W6" s="5">
        <v>688</v>
      </c>
      <c r="X6" s="5">
        <v>1140</v>
      </c>
      <c r="Y6" s="5">
        <v>1140</v>
      </c>
      <c r="Z6" s="5">
        <v>1140</v>
      </c>
    </row>
    <row r="7" spans="1:26">
      <c r="A7" s="5"/>
      <c r="B7" s="5"/>
      <c r="C7" s="5"/>
      <c r="D7" s="5">
        <v>1100</v>
      </c>
      <c r="F7" s="15" t="s">
        <v>51</v>
      </c>
      <c r="G7" s="5">
        <v>2310</v>
      </c>
      <c r="H7" s="5">
        <v>2310</v>
      </c>
      <c r="I7" s="5">
        <v>2310</v>
      </c>
      <c r="J7" s="5">
        <v>1840</v>
      </c>
      <c r="K7" s="5">
        <v>1840</v>
      </c>
      <c r="L7" s="5">
        <v>1840</v>
      </c>
      <c r="M7" s="5">
        <v>1690</v>
      </c>
      <c r="N7" s="5">
        <v>1970</v>
      </c>
      <c r="O7" s="5">
        <v>862</v>
      </c>
      <c r="P7" s="5">
        <v>345</v>
      </c>
      <c r="Q7" s="5">
        <v>249</v>
      </c>
      <c r="R7" s="5">
        <v>250</v>
      </c>
      <c r="S7" s="5">
        <v>318</v>
      </c>
      <c r="T7" s="5">
        <v>449</v>
      </c>
      <c r="U7" s="5">
        <v>661</v>
      </c>
      <c r="V7" s="5">
        <v>661</v>
      </c>
      <c r="W7" s="5">
        <v>661</v>
      </c>
      <c r="X7" s="5">
        <v>1140</v>
      </c>
      <c r="Y7" s="5">
        <v>1140</v>
      </c>
      <c r="Z7" s="5">
        <v>1140</v>
      </c>
    </row>
    <row r="8" spans="1:26">
      <c r="A8" s="5"/>
      <c r="B8" s="5">
        <v>9</v>
      </c>
      <c r="C8" s="5">
        <v>535</v>
      </c>
      <c r="D8" s="5">
        <v>535</v>
      </c>
      <c r="F8" s="15" t="s">
        <v>52</v>
      </c>
      <c r="G8" s="5">
        <v>1500</v>
      </c>
      <c r="H8" s="5">
        <v>1500</v>
      </c>
      <c r="I8" s="5">
        <v>1500</v>
      </c>
      <c r="J8" s="5">
        <v>1940</v>
      </c>
      <c r="K8" s="5">
        <v>1940</v>
      </c>
      <c r="L8" s="5">
        <v>1940</v>
      </c>
      <c r="M8" s="5">
        <v>1880</v>
      </c>
      <c r="N8" s="5">
        <v>995</v>
      </c>
      <c r="O8" s="5">
        <v>512</v>
      </c>
      <c r="P8" s="5">
        <v>263</v>
      </c>
      <c r="Q8" s="5">
        <v>199</v>
      </c>
      <c r="R8" s="5">
        <v>186</v>
      </c>
      <c r="S8" s="5">
        <v>279</v>
      </c>
      <c r="T8" s="5">
        <v>643</v>
      </c>
      <c r="U8" s="5">
        <v>854</v>
      </c>
      <c r="V8" s="5">
        <v>854</v>
      </c>
      <c r="W8" s="5">
        <v>854</v>
      </c>
      <c r="X8" s="5">
        <v>967</v>
      </c>
      <c r="Y8" s="5">
        <v>967</v>
      </c>
      <c r="Z8" s="5">
        <v>967</v>
      </c>
    </row>
    <row r="9" spans="1:26">
      <c r="A9" s="5"/>
      <c r="B9" s="5">
        <v>10</v>
      </c>
      <c r="C9" s="5">
        <v>584</v>
      </c>
      <c r="D9" s="5">
        <v>584</v>
      </c>
      <c r="F9" s="15" t="s">
        <v>53</v>
      </c>
      <c r="G9" s="5">
        <v>791</v>
      </c>
      <c r="H9" s="5">
        <v>791</v>
      </c>
      <c r="I9" s="5">
        <v>791</v>
      </c>
      <c r="J9" s="5">
        <v>676</v>
      </c>
      <c r="K9" s="5">
        <v>676</v>
      </c>
      <c r="L9" s="5">
        <v>676</v>
      </c>
      <c r="M9" s="5">
        <v>636</v>
      </c>
      <c r="N9" s="5">
        <v>519</v>
      </c>
      <c r="O9" s="5">
        <v>306</v>
      </c>
      <c r="P9" s="5">
        <v>160</v>
      </c>
      <c r="Q9" s="5">
        <v>116</v>
      </c>
      <c r="R9" s="5">
        <v>123</v>
      </c>
      <c r="S9" s="5">
        <v>178</v>
      </c>
      <c r="T9" s="5">
        <v>478</v>
      </c>
      <c r="U9" s="5">
        <v>549</v>
      </c>
      <c r="V9" s="5">
        <v>549</v>
      </c>
      <c r="W9" s="5">
        <v>549</v>
      </c>
      <c r="X9" s="5">
        <v>774</v>
      </c>
      <c r="Y9" s="5">
        <v>774</v>
      </c>
      <c r="Z9" s="5">
        <v>774</v>
      </c>
    </row>
    <row r="10" spans="1:26">
      <c r="A10" s="5"/>
      <c r="B10" s="5">
        <v>11</v>
      </c>
      <c r="C10" s="5">
        <v>331</v>
      </c>
      <c r="D10" s="5">
        <v>331</v>
      </c>
      <c r="F10" s="15" t="s">
        <v>54</v>
      </c>
      <c r="G10" s="5">
        <v>564</v>
      </c>
      <c r="H10" s="5">
        <v>564</v>
      </c>
      <c r="I10" s="5">
        <v>564</v>
      </c>
      <c r="J10" s="5">
        <v>1100</v>
      </c>
      <c r="K10" s="5">
        <v>1100</v>
      </c>
      <c r="L10" s="5">
        <v>1100</v>
      </c>
      <c r="M10" s="5">
        <v>1760</v>
      </c>
      <c r="N10" s="5">
        <v>999</v>
      </c>
      <c r="O10" s="5">
        <v>503</v>
      </c>
      <c r="P10" s="5">
        <v>228</v>
      </c>
      <c r="Q10" s="5">
        <v>165</v>
      </c>
      <c r="R10" s="5">
        <v>152</v>
      </c>
      <c r="S10" s="5">
        <v>196</v>
      </c>
      <c r="T10" s="5">
        <v>380</v>
      </c>
      <c r="U10" s="5">
        <v>390</v>
      </c>
      <c r="V10" s="5">
        <v>390</v>
      </c>
      <c r="W10" s="5">
        <v>390</v>
      </c>
      <c r="X10" s="5">
        <v>450</v>
      </c>
      <c r="Y10" s="5">
        <v>450</v>
      </c>
      <c r="Z10" s="5">
        <v>450</v>
      </c>
    </row>
    <row r="11" spans="1:26">
      <c r="A11" s="5"/>
      <c r="B11" s="5">
        <v>12</v>
      </c>
      <c r="C11" s="5">
        <v>160</v>
      </c>
      <c r="D11" s="5">
        <v>160</v>
      </c>
      <c r="F11" s="15" t="s">
        <v>55</v>
      </c>
      <c r="G11" s="5">
        <v>1130</v>
      </c>
      <c r="H11" s="5">
        <v>1130</v>
      </c>
      <c r="I11" s="5">
        <v>1130</v>
      </c>
      <c r="J11" s="5">
        <v>1700</v>
      </c>
      <c r="K11" s="5">
        <v>1700</v>
      </c>
      <c r="L11" s="5">
        <v>1700</v>
      </c>
      <c r="M11" s="5">
        <v>1650</v>
      </c>
      <c r="N11" s="5">
        <v>939</v>
      </c>
      <c r="O11" s="5">
        <v>410</v>
      </c>
      <c r="P11" s="5">
        <v>217</v>
      </c>
      <c r="Q11" s="5">
        <v>151</v>
      </c>
      <c r="R11" s="5">
        <v>149</v>
      </c>
      <c r="S11" s="5">
        <v>212</v>
      </c>
      <c r="T11" s="5">
        <v>308</v>
      </c>
      <c r="U11" s="5">
        <v>340</v>
      </c>
      <c r="V11" s="5">
        <v>340</v>
      </c>
      <c r="W11" s="5">
        <v>340</v>
      </c>
      <c r="X11" s="5">
        <v>619</v>
      </c>
      <c r="Y11" s="5">
        <v>619</v>
      </c>
      <c r="Z11" s="5">
        <v>619</v>
      </c>
    </row>
    <row r="12" spans="1:26">
      <c r="A12" s="5"/>
      <c r="B12" s="5">
        <v>1</v>
      </c>
      <c r="C12" s="5">
        <v>127</v>
      </c>
      <c r="D12" s="5">
        <v>127</v>
      </c>
      <c r="F12" s="15" t="s">
        <v>56</v>
      </c>
      <c r="G12" s="5">
        <v>1330</v>
      </c>
      <c r="H12" s="5">
        <v>1330</v>
      </c>
      <c r="I12" s="5">
        <v>1330</v>
      </c>
      <c r="J12" s="5">
        <v>937</v>
      </c>
      <c r="K12" s="5">
        <v>937</v>
      </c>
      <c r="L12" s="5">
        <v>937</v>
      </c>
      <c r="M12" s="5">
        <v>1400</v>
      </c>
      <c r="N12" s="5">
        <v>1060</v>
      </c>
      <c r="O12" s="5">
        <v>464</v>
      </c>
      <c r="P12" s="5">
        <v>202</v>
      </c>
      <c r="Q12" s="5">
        <v>155</v>
      </c>
      <c r="R12" s="5">
        <v>156</v>
      </c>
      <c r="S12" s="5">
        <v>197</v>
      </c>
      <c r="T12" s="5">
        <v>332</v>
      </c>
      <c r="U12" s="5">
        <v>549</v>
      </c>
      <c r="V12" s="5">
        <v>549</v>
      </c>
      <c r="W12" s="5">
        <v>549</v>
      </c>
      <c r="X12" s="5">
        <v>1040</v>
      </c>
      <c r="Y12" s="5">
        <v>1040</v>
      </c>
      <c r="Z12" s="5">
        <v>1040</v>
      </c>
    </row>
    <row r="13" spans="1:26">
      <c r="A13" s="5"/>
      <c r="B13" s="5">
        <v>2</v>
      </c>
      <c r="C13" s="5">
        <v>124</v>
      </c>
      <c r="D13" s="5">
        <v>124</v>
      </c>
      <c r="F13" s="15" t="s">
        <v>57</v>
      </c>
      <c r="G13" s="5">
        <v>1600</v>
      </c>
      <c r="H13" s="5">
        <v>1600</v>
      </c>
      <c r="I13" s="5">
        <v>1600</v>
      </c>
      <c r="J13" s="5">
        <v>989</v>
      </c>
      <c r="K13" s="5">
        <v>989</v>
      </c>
      <c r="L13" s="5">
        <v>989</v>
      </c>
      <c r="M13" s="5">
        <v>3550</v>
      </c>
      <c r="N13" s="5">
        <v>1700</v>
      </c>
      <c r="O13" s="5">
        <v>687</v>
      </c>
      <c r="P13" s="5">
        <v>312</v>
      </c>
      <c r="Q13" s="5">
        <v>233</v>
      </c>
      <c r="R13" s="5">
        <v>227</v>
      </c>
      <c r="S13" s="5">
        <v>263</v>
      </c>
      <c r="T13" s="5">
        <v>381</v>
      </c>
      <c r="U13" s="5">
        <v>900</v>
      </c>
      <c r="V13" s="5">
        <v>900</v>
      </c>
      <c r="W13" s="5">
        <v>900</v>
      </c>
      <c r="X13" s="5">
        <v>1560</v>
      </c>
      <c r="Y13" s="5">
        <v>1560</v>
      </c>
      <c r="Z13" s="5">
        <v>1560</v>
      </c>
    </row>
    <row r="14" spans="1:26">
      <c r="A14" s="5"/>
      <c r="B14" s="5">
        <v>3</v>
      </c>
      <c r="C14" s="5">
        <v>189</v>
      </c>
      <c r="D14" s="5">
        <v>189</v>
      </c>
      <c r="F14" s="15" t="s">
        <v>58</v>
      </c>
      <c r="G14" s="5">
        <v>1790</v>
      </c>
      <c r="H14" s="5">
        <v>1790</v>
      </c>
      <c r="I14" s="5">
        <v>1790</v>
      </c>
      <c r="J14" s="5">
        <v>1050</v>
      </c>
      <c r="K14" s="5">
        <v>1050</v>
      </c>
      <c r="L14" s="5">
        <v>1050</v>
      </c>
      <c r="M14" s="5">
        <v>1700</v>
      </c>
      <c r="N14" s="5">
        <v>1630</v>
      </c>
      <c r="O14" s="5">
        <v>653</v>
      </c>
      <c r="P14" s="5">
        <v>285</v>
      </c>
      <c r="Q14" s="5">
        <v>211</v>
      </c>
      <c r="R14" s="5">
        <v>201</v>
      </c>
      <c r="S14" s="5">
        <v>239</v>
      </c>
      <c r="T14" s="5">
        <v>464</v>
      </c>
      <c r="U14" s="5">
        <v>886</v>
      </c>
      <c r="V14" s="5">
        <v>886</v>
      </c>
      <c r="W14" s="5">
        <v>886</v>
      </c>
      <c r="X14" s="5">
        <v>1210</v>
      </c>
      <c r="Y14" s="5">
        <v>1210</v>
      </c>
      <c r="Z14" s="5">
        <v>1210</v>
      </c>
    </row>
    <row r="15" spans="1:26">
      <c r="A15" s="5"/>
      <c r="B15" s="5">
        <v>4</v>
      </c>
      <c r="C15" s="5">
        <v>336</v>
      </c>
      <c r="D15" s="5">
        <v>336</v>
      </c>
      <c r="F15" s="15" t="s">
        <v>59</v>
      </c>
      <c r="G15" s="5">
        <v>2650</v>
      </c>
      <c r="H15" s="5">
        <v>2650</v>
      </c>
      <c r="I15" s="5">
        <v>2650</v>
      </c>
      <c r="J15" s="5">
        <v>1730</v>
      </c>
      <c r="K15" s="5">
        <v>1730</v>
      </c>
      <c r="L15" s="5">
        <v>1730</v>
      </c>
      <c r="M15" s="5">
        <v>1150</v>
      </c>
      <c r="N15" s="5">
        <v>1960</v>
      </c>
      <c r="O15" s="5">
        <v>843</v>
      </c>
      <c r="P15" s="5">
        <v>340</v>
      </c>
      <c r="Q15" s="5">
        <v>234</v>
      </c>
      <c r="R15" s="5">
        <v>251</v>
      </c>
      <c r="S15" s="5">
        <v>293</v>
      </c>
      <c r="T15" s="5">
        <v>412</v>
      </c>
      <c r="U15" s="5">
        <v>479</v>
      </c>
      <c r="V15" s="5">
        <v>479</v>
      </c>
      <c r="W15" s="5">
        <v>479</v>
      </c>
      <c r="X15" s="5">
        <v>1110</v>
      </c>
      <c r="Y15" s="5">
        <v>1110</v>
      </c>
      <c r="Z15" s="5">
        <v>1110</v>
      </c>
    </row>
    <row r="16" spans="1:26">
      <c r="A16" s="5"/>
      <c r="B16" s="5">
        <v>5</v>
      </c>
      <c r="C16" s="5">
        <v>445</v>
      </c>
      <c r="D16" s="5">
        <v>445</v>
      </c>
      <c r="F16" s="15" t="s">
        <v>60</v>
      </c>
      <c r="G16" s="5">
        <v>2430</v>
      </c>
      <c r="H16" s="5">
        <v>2430</v>
      </c>
      <c r="I16" s="5">
        <v>2430</v>
      </c>
      <c r="J16" s="5">
        <v>1400</v>
      </c>
      <c r="K16" s="5">
        <v>1400</v>
      </c>
      <c r="L16" s="5">
        <v>1400</v>
      </c>
      <c r="M16" s="5">
        <v>861</v>
      </c>
      <c r="N16" s="5">
        <v>855</v>
      </c>
      <c r="O16" s="5">
        <v>478</v>
      </c>
      <c r="P16" s="5">
        <v>258</v>
      </c>
      <c r="Q16" s="5">
        <v>182</v>
      </c>
      <c r="R16" s="5">
        <v>167</v>
      </c>
      <c r="S16" s="5">
        <v>223</v>
      </c>
      <c r="T16" s="5">
        <v>345</v>
      </c>
      <c r="U16" s="5">
        <v>430</v>
      </c>
      <c r="V16" s="5">
        <v>430</v>
      </c>
      <c r="W16" s="5">
        <v>430</v>
      </c>
      <c r="X16" s="5">
        <v>639</v>
      </c>
      <c r="Y16" s="5">
        <v>639</v>
      </c>
      <c r="Z16" s="5">
        <v>639</v>
      </c>
    </row>
    <row r="17" spans="1:26">
      <c r="A17" s="5"/>
      <c r="B17" s="5"/>
      <c r="C17" s="5"/>
      <c r="D17" s="5">
        <v>445</v>
      </c>
      <c r="F17" s="15" t="s">
        <v>61</v>
      </c>
      <c r="G17" s="5">
        <v>1200</v>
      </c>
      <c r="H17" s="5">
        <v>1200</v>
      </c>
      <c r="I17" s="5">
        <v>1200</v>
      </c>
      <c r="J17" s="5">
        <v>1010</v>
      </c>
      <c r="K17" s="5">
        <v>1010</v>
      </c>
      <c r="L17" s="5">
        <v>1010</v>
      </c>
      <c r="M17" s="5">
        <v>2350</v>
      </c>
      <c r="N17" s="5">
        <v>1140</v>
      </c>
      <c r="O17" s="5">
        <v>451</v>
      </c>
      <c r="P17" s="5">
        <v>245</v>
      </c>
      <c r="Q17" s="5">
        <v>181</v>
      </c>
      <c r="R17" s="5">
        <v>179</v>
      </c>
      <c r="S17" s="5">
        <v>229</v>
      </c>
      <c r="T17" s="5">
        <v>359</v>
      </c>
      <c r="U17" s="5">
        <v>849</v>
      </c>
      <c r="V17" s="5">
        <v>849</v>
      </c>
      <c r="W17" s="5">
        <v>849</v>
      </c>
      <c r="X17" s="5">
        <v>1120</v>
      </c>
      <c r="Y17" s="5">
        <v>1120</v>
      </c>
      <c r="Z17" s="5">
        <v>1120</v>
      </c>
    </row>
    <row r="18" spans="1:26">
      <c r="A18" s="5"/>
      <c r="B18" s="5"/>
      <c r="C18" s="5"/>
      <c r="D18" s="5">
        <v>445</v>
      </c>
      <c r="F18" s="15" t="s">
        <v>62</v>
      </c>
      <c r="G18" s="5">
        <v>1720</v>
      </c>
      <c r="H18" s="5">
        <v>1720</v>
      </c>
      <c r="I18" s="5">
        <v>1720</v>
      </c>
      <c r="J18" s="5">
        <v>699</v>
      </c>
      <c r="K18" s="5">
        <v>699</v>
      </c>
      <c r="L18" s="5">
        <v>699</v>
      </c>
      <c r="M18" s="5">
        <v>1080</v>
      </c>
      <c r="N18" s="5">
        <v>574</v>
      </c>
      <c r="O18" s="5">
        <v>332</v>
      </c>
      <c r="P18" s="5">
        <v>203</v>
      </c>
      <c r="Q18" s="5">
        <v>120</v>
      </c>
      <c r="R18" s="5">
        <v>170</v>
      </c>
      <c r="S18" s="5">
        <v>169</v>
      </c>
      <c r="T18" s="5">
        <v>287</v>
      </c>
      <c r="U18" s="5">
        <v>550</v>
      </c>
      <c r="V18" s="5">
        <v>550</v>
      </c>
      <c r="W18" s="5">
        <v>550</v>
      </c>
      <c r="X18" s="5">
        <v>1127</v>
      </c>
      <c r="Y18" s="5">
        <v>1127</v>
      </c>
      <c r="Z18" s="5">
        <v>1127</v>
      </c>
    </row>
    <row r="19" spans="1:26">
      <c r="A19" s="5"/>
      <c r="B19" s="5">
        <v>6</v>
      </c>
      <c r="C19" s="5">
        <v>618</v>
      </c>
      <c r="D19" s="5">
        <v>618</v>
      </c>
      <c r="F19" s="15" t="s">
        <v>63</v>
      </c>
      <c r="G19" s="5">
        <v>1607</v>
      </c>
      <c r="H19" s="5">
        <v>1607</v>
      </c>
      <c r="I19" s="5">
        <v>1607</v>
      </c>
      <c r="J19" s="5">
        <v>638</v>
      </c>
      <c r="K19" s="5">
        <v>638</v>
      </c>
      <c r="L19" s="5">
        <v>638</v>
      </c>
      <c r="M19" s="5">
        <v>1001</v>
      </c>
      <c r="N19" s="5">
        <v>532</v>
      </c>
      <c r="O19" s="5">
        <v>320</v>
      </c>
      <c r="P19" s="5">
        <v>175</v>
      </c>
      <c r="Q19" s="5">
        <v>148</v>
      </c>
      <c r="R19" s="5">
        <v>161</v>
      </c>
      <c r="S19" s="5">
        <v>231</v>
      </c>
      <c r="T19" s="5">
        <v>329</v>
      </c>
      <c r="U19" s="5">
        <v>391</v>
      </c>
      <c r="V19" s="5">
        <v>391</v>
      </c>
      <c r="W19" s="5">
        <v>391</v>
      </c>
      <c r="X19" s="5">
        <v>772</v>
      </c>
      <c r="Y19" s="5">
        <v>772</v>
      </c>
      <c r="Z19" s="5">
        <v>772</v>
      </c>
    </row>
    <row r="20" spans="1:26">
      <c r="A20" s="5"/>
      <c r="B20" s="5"/>
      <c r="C20" s="5"/>
      <c r="D20" s="5">
        <v>618</v>
      </c>
      <c r="F20" s="15" t="s">
        <v>64</v>
      </c>
      <c r="G20" s="5">
        <v>819</v>
      </c>
      <c r="H20" s="5">
        <v>819</v>
      </c>
      <c r="I20" s="5">
        <v>819</v>
      </c>
      <c r="J20" s="5">
        <v>783</v>
      </c>
      <c r="K20" s="5">
        <v>783</v>
      </c>
      <c r="L20" s="5">
        <v>783</v>
      </c>
      <c r="M20" s="5">
        <v>538</v>
      </c>
      <c r="N20" s="5">
        <v>1180</v>
      </c>
      <c r="O20" s="5">
        <v>580</v>
      </c>
      <c r="P20" s="5">
        <v>525</v>
      </c>
      <c r="Q20" s="5">
        <v>160</v>
      </c>
      <c r="R20" s="5">
        <v>173</v>
      </c>
      <c r="S20" s="5">
        <v>275</v>
      </c>
      <c r="T20" s="5">
        <v>378</v>
      </c>
      <c r="U20" s="5">
        <v>871</v>
      </c>
      <c r="V20" s="5">
        <v>871</v>
      </c>
      <c r="W20" s="5">
        <v>871</v>
      </c>
      <c r="X20" s="5">
        <v>2200</v>
      </c>
      <c r="Y20" s="5">
        <v>2200</v>
      </c>
      <c r="Z20" s="5">
        <v>2200</v>
      </c>
    </row>
    <row r="21" spans="1:26">
      <c r="A21" s="5"/>
      <c r="B21" s="5"/>
      <c r="C21" s="5"/>
      <c r="D21" s="5">
        <v>618</v>
      </c>
      <c r="F21" s="15" t="s">
        <v>65</v>
      </c>
      <c r="G21" s="5">
        <v>2230</v>
      </c>
      <c r="H21" s="5">
        <v>2230</v>
      </c>
      <c r="I21" s="5">
        <v>2230</v>
      </c>
      <c r="J21" s="5">
        <v>1830</v>
      </c>
      <c r="K21" s="5">
        <v>1830</v>
      </c>
      <c r="L21" s="5">
        <v>1830</v>
      </c>
      <c r="M21" s="5">
        <v>1910</v>
      </c>
      <c r="N21" s="5">
        <v>1240</v>
      </c>
      <c r="O21" s="5">
        <v>657</v>
      </c>
      <c r="P21" s="5">
        <v>331</v>
      </c>
      <c r="Q21" s="5">
        <v>253</v>
      </c>
      <c r="R21" s="5">
        <v>267</v>
      </c>
      <c r="S21" s="5">
        <v>317</v>
      </c>
      <c r="T21" s="5">
        <v>401</v>
      </c>
      <c r="U21" s="5">
        <v>757</v>
      </c>
      <c r="V21" s="5">
        <v>757</v>
      </c>
      <c r="W21" s="5">
        <v>757</v>
      </c>
      <c r="X21" s="5">
        <v>789</v>
      </c>
      <c r="Y21" s="5">
        <v>789</v>
      </c>
      <c r="Z21" s="5">
        <v>789</v>
      </c>
    </row>
    <row r="22" spans="1:26">
      <c r="A22" s="5">
        <v>1971</v>
      </c>
      <c r="B22" s="5">
        <v>7</v>
      </c>
      <c r="C22" s="5">
        <v>656</v>
      </c>
      <c r="D22" s="5">
        <v>656</v>
      </c>
      <c r="F22" s="15" t="s">
        <v>20</v>
      </c>
      <c r="G22" s="5">
        <v>804</v>
      </c>
      <c r="H22" s="5">
        <v>804</v>
      </c>
      <c r="I22" s="5">
        <v>804</v>
      </c>
      <c r="J22" s="5">
        <v>1000</v>
      </c>
      <c r="K22" s="5">
        <v>1000</v>
      </c>
      <c r="L22" s="5">
        <v>1000</v>
      </c>
      <c r="M22" s="5">
        <v>855</v>
      </c>
      <c r="N22" s="5">
        <v>734</v>
      </c>
      <c r="O22" s="5">
        <v>418</v>
      </c>
      <c r="P22" s="5">
        <v>218</v>
      </c>
      <c r="Q22" s="5">
        <v>152</v>
      </c>
      <c r="R22" s="5">
        <v>181</v>
      </c>
      <c r="S22" s="5">
        <v>231</v>
      </c>
      <c r="T22" s="5">
        <v>265</v>
      </c>
      <c r="U22" s="5">
        <v>505</v>
      </c>
      <c r="V22" s="5">
        <v>505</v>
      </c>
      <c r="W22" s="5">
        <v>505</v>
      </c>
      <c r="X22" s="5">
        <v>614</v>
      </c>
      <c r="Y22" s="5">
        <v>614</v>
      </c>
      <c r="Z22" s="5">
        <v>614</v>
      </c>
    </row>
    <row r="23" spans="1:26">
      <c r="A23" s="5"/>
      <c r="B23" s="5"/>
      <c r="C23" s="5"/>
      <c r="D23" s="5">
        <v>656</v>
      </c>
      <c r="F23" s="15" t="s">
        <v>21</v>
      </c>
      <c r="G23" s="5">
        <v>808</v>
      </c>
      <c r="H23" s="5">
        <v>808</v>
      </c>
      <c r="I23" s="5">
        <v>808</v>
      </c>
      <c r="J23" s="5">
        <v>743</v>
      </c>
      <c r="K23" s="5">
        <v>743</v>
      </c>
      <c r="L23" s="5">
        <v>743</v>
      </c>
      <c r="M23" s="5">
        <v>1130</v>
      </c>
      <c r="N23" s="5">
        <v>638</v>
      </c>
      <c r="O23" s="5">
        <v>400</v>
      </c>
      <c r="P23" s="5">
        <v>187</v>
      </c>
      <c r="Q23" s="5">
        <v>116</v>
      </c>
      <c r="R23" s="5">
        <v>131</v>
      </c>
      <c r="S23" s="5">
        <v>204</v>
      </c>
      <c r="T23" s="5">
        <v>401</v>
      </c>
      <c r="U23" s="5">
        <v>477</v>
      </c>
      <c r="V23" s="5">
        <v>477</v>
      </c>
      <c r="W23" s="5">
        <v>477</v>
      </c>
      <c r="X23" s="5">
        <v>793</v>
      </c>
      <c r="Y23" s="5">
        <v>793</v>
      </c>
      <c r="Z23" s="5">
        <v>793</v>
      </c>
    </row>
    <row r="24" spans="1:26">
      <c r="A24" s="5"/>
      <c r="B24" s="5"/>
      <c r="C24" s="5"/>
      <c r="D24" s="5">
        <v>656</v>
      </c>
      <c r="F24" s="15" t="s">
        <v>22</v>
      </c>
      <c r="G24" s="5">
        <v>1660</v>
      </c>
      <c r="H24" s="5">
        <v>1660</v>
      </c>
      <c r="I24" s="5">
        <v>1660</v>
      </c>
      <c r="J24" s="5">
        <v>1030</v>
      </c>
      <c r="K24" s="5">
        <v>1030</v>
      </c>
      <c r="L24" s="5">
        <v>1030</v>
      </c>
      <c r="M24" s="5">
        <v>1020</v>
      </c>
      <c r="N24" s="5">
        <v>953</v>
      </c>
      <c r="O24" s="5">
        <v>428</v>
      </c>
      <c r="P24" s="5">
        <v>229</v>
      </c>
      <c r="Q24" s="5">
        <v>178</v>
      </c>
      <c r="R24" s="5">
        <v>203</v>
      </c>
      <c r="S24" s="5">
        <v>264</v>
      </c>
      <c r="T24" s="5">
        <v>494</v>
      </c>
      <c r="U24" s="5">
        <v>706</v>
      </c>
      <c r="V24" s="5">
        <v>706</v>
      </c>
      <c r="W24" s="5">
        <v>706</v>
      </c>
      <c r="X24" s="5">
        <v>986</v>
      </c>
      <c r="Y24" s="5">
        <v>986</v>
      </c>
      <c r="Z24" s="5">
        <v>986</v>
      </c>
    </row>
    <row r="25" spans="1:26">
      <c r="A25" s="5"/>
      <c r="B25" s="5">
        <v>8</v>
      </c>
      <c r="C25" s="5">
        <v>605</v>
      </c>
      <c r="D25" s="5">
        <v>605</v>
      </c>
      <c r="F25" s="15" t="s">
        <v>23</v>
      </c>
      <c r="G25" s="5">
        <v>1360</v>
      </c>
      <c r="H25" s="5">
        <v>1360</v>
      </c>
      <c r="I25" s="5">
        <v>1360</v>
      </c>
      <c r="J25" s="5">
        <v>1060</v>
      </c>
      <c r="K25" s="5">
        <v>1060</v>
      </c>
      <c r="L25" s="5">
        <v>1060</v>
      </c>
      <c r="M25" s="5">
        <v>1560</v>
      </c>
      <c r="N25" s="5">
        <v>732</v>
      </c>
      <c r="O25" s="5">
        <v>450</v>
      </c>
      <c r="P25" s="5">
        <v>223</v>
      </c>
      <c r="Q25" s="5">
        <v>184</v>
      </c>
      <c r="R25" s="5">
        <v>194</v>
      </c>
      <c r="S25" s="5">
        <v>230</v>
      </c>
      <c r="T25" s="5">
        <v>506</v>
      </c>
      <c r="U25" s="5">
        <v>639</v>
      </c>
      <c r="V25" s="5">
        <v>639</v>
      </c>
      <c r="W25" s="5">
        <v>639</v>
      </c>
      <c r="X25" s="5">
        <v>1090</v>
      </c>
      <c r="Y25" s="5">
        <v>1090</v>
      </c>
      <c r="Z25" s="5">
        <v>1090</v>
      </c>
    </row>
    <row r="26" spans="1:26">
      <c r="A26" s="5"/>
      <c r="B26" s="5"/>
      <c r="C26" s="5"/>
      <c r="D26" s="5">
        <v>605</v>
      </c>
      <c r="F26" s="15" t="s">
        <v>24</v>
      </c>
      <c r="G26" s="5">
        <v>955</v>
      </c>
      <c r="H26" s="5">
        <v>955</v>
      </c>
      <c r="I26" s="5">
        <v>955</v>
      </c>
      <c r="J26" s="5">
        <v>687</v>
      </c>
      <c r="K26" s="5">
        <v>687</v>
      </c>
      <c r="L26" s="5">
        <v>687</v>
      </c>
      <c r="M26" s="5">
        <v>597</v>
      </c>
      <c r="N26" s="5">
        <v>558</v>
      </c>
      <c r="O26" s="5">
        <v>339</v>
      </c>
      <c r="P26" s="5">
        <v>190</v>
      </c>
      <c r="Q26" s="5">
        <v>142</v>
      </c>
      <c r="R26" s="5">
        <v>148</v>
      </c>
      <c r="S26" s="5">
        <v>201</v>
      </c>
      <c r="T26" s="5">
        <v>411</v>
      </c>
      <c r="U26" s="5">
        <v>718</v>
      </c>
      <c r="V26" s="5">
        <v>718</v>
      </c>
      <c r="W26" s="5">
        <v>718</v>
      </c>
      <c r="X26" s="5">
        <v>569</v>
      </c>
      <c r="Y26" s="5">
        <v>569</v>
      </c>
      <c r="Z26" s="5">
        <v>569</v>
      </c>
    </row>
    <row r="27" spans="1:26">
      <c r="A27" s="5"/>
      <c r="B27" s="5"/>
      <c r="C27" s="5"/>
      <c r="D27" s="5">
        <v>605</v>
      </c>
      <c r="F27" s="15" t="s">
        <v>25</v>
      </c>
      <c r="G27" s="5">
        <v>565</v>
      </c>
      <c r="H27" s="5">
        <v>565</v>
      </c>
      <c r="I27" s="5">
        <v>565</v>
      </c>
      <c r="J27" s="5">
        <v>985</v>
      </c>
      <c r="K27" s="5">
        <v>985</v>
      </c>
      <c r="L27" s="5">
        <v>985</v>
      </c>
      <c r="M27" s="5">
        <v>992</v>
      </c>
      <c r="N27" s="5">
        <v>661</v>
      </c>
      <c r="O27" s="5">
        <v>420</v>
      </c>
      <c r="P27" s="5">
        <v>207</v>
      </c>
      <c r="Q27" s="5">
        <v>142</v>
      </c>
      <c r="R27" s="5">
        <v>151</v>
      </c>
      <c r="S27" s="5">
        <v>205</v>
      </c>
      <c r="T27" s="5">
        <v>335</v>
      </c>
      <c r="U27" s="5">
        <v>572</v>
      </c>
      <c r="V27" s="5">
        <v>572</v>
      </c>
      <c r="W27" s="5">
        <v>572</v>
      </c>
      <c r="X27" s="5">
        <v>833</v>
      </c>
      <c r="Y27" s="5">
        <v>833</v>
      </c>
      <c r="Z27" s="5">
        <v>833</v>
      </c>
    </row>
    <row r="28" spans="1:26">
      <c r="A28" s="5"/>
      <c r="B28" s="5">
        <v>9</v>
      </c>
      <c r="C28" s="5">
        <v>1320</v>
      </c>
      <c r="D28" s="5">
        <v>1320</v>
      </c>
      <c r="F28" s="15" t="s">
        <v>26</v>
      </c>
      <c r="G28" s="5">
        <v>690</v>
      </c>
      <c r="H28" s="5">
        <v>690</v>
      </c>
      <c r="I28" s="5">
        <v>690</v>
      </c>
      <c r="J28" s="5">
        <v>641</v>
      </c>
      <c r="K28" s="5">
        <v>641</v>
      </c>
      <c r="L28" s="5">
        <v>641</v>
      </c>
      <c r="M28" s="5">
        <v>744</v>
      </c>
      <c r="N28" s="5">
        <v>579</v>
      </c>
      <c r="O28" s="5">
        <v>332</v>
      </c>
      <c r="P28" s="5">
        <v>161</v>
      </c>
      <c r="Q28" s="5">
        <v>124</v>
      </c>
      <c r="R28" s="5">
        <v>113</v>
      </c>
      <c r="S28" s="5">
        <v>204</v>
      </c>
      <c r="T28" s="5">
        <v>295</v>
      </c>
      <c r="U28" s="5">
        <v>833</v>
      </c>
      <c r="V28" s="5">
        <v>833</v>
      </c>
      <c r="W28" s="5">
        <v>833</v>
      </c>
      <c r="X28" s="5">
        <v>764</v>
      </c>
      <c r="Y28" s="5">
        <v>764</v>
      </c>
      <c r="Z28" s="5">
        <v>764</v>
      </c>
    </row>
    <row r="29" spans="1:26">
      <c r="A29" s="5"/>
      <c r="B29" s="5">
        <v>10</v>
      </c>
      <c r="C29" s="5">
        <v>1710</v>
      </c>
      <c r="D29" s="5">
        <v>1710</v>
      </c>
      <c r="F29" s="15" t="s">
        <v>27</v>
      </c>
      <c r="G29" s="5">
        <v>986</v>
      </c>
      <c r="H29" s="5">
        <v>986</v>
      </c>
      <c r="I29" s="5">
        <v>986</v>
      </c>
      <c r="J29" s="5">
        <v>493</v>
      </c>
      <c r="K29" s="5">
        <v>493</v>
      </c>
      <c r="L29" s="5">
        <v>493</v>
      </c>
      <c r="M29" s="5">
        <v>651</v>
      </c>
      <c r="N29" s="5">
        <v>484</v>
      </c>
      <c r="O29" s="5">
        <v>308</v>
      </c>
      <c r="P29" s="5">
        <v>151</v>
      </c>
      <c r="Q29" s="5">
        <v>120</v>
      </c>
      <c r="R29" s="5">
        <v>121</v>
      </c>
      <c r="S29" s="5">
        <v>169</v>
      </c>
      <c r="T29" s="5">
        <v>410</v>
      </c>
      <c r="U29" s="5">
        <v>604</v>
      </c>
      <c r="V29" s="5">
        <v>604</v>
      </c>
      <c r="W29" s="5">
        <v>604</v>
      </c>
      <c r="X29" s="5">
        <v>559</v>
      </c>
      <c r="Y29" s="5">
        <v>559</v>
      </c>
      <c r="Z29" s="5">
        <v>559</v>
      </c>
    </row>
    <row r="30" spans="1:26">
      <c r="A30" s="5"/>
      <c r="B30" s="5">
        <v>11</v>
      </c>
      <c r="C30" s="5">
        <v>642</v>
      </c>
      <c r="D30" s="5">
        <v>642</v>
      </c>
      <c r="F30" s="15" t="s">
        <v>28</v>
      </c>
      <c r="G30" s="5">
        <v>1050</v>
      </c>
      <c r="H30" s="5">
        <v>1050</v>
      </c>
      <c r="I30" s="5">
        <v>1050</v>
      </c>
      <c r="J30" s="5">
        <v>1140</v>
      </c>
      <c r="K30" s="5">
        <v>1140</v>
      </c>
      <c r="L30" s="5">
        <v>1140</v>
      </c>
      <c r="M30" s="5">
        <v>1170</v>
      </c>
      <c r="N30" s="5">
        <v>822</v>
      </c>
      <c r="O30" s="5">
        <v>446</v>
      </c>
      <c r="P30" s="5">
        <v>214</v>
      </c>
      <c r="Q30" s="5">
        <v>161</v>
      </c>
      <c r="R30" s="5">
        <v>194</v>
      </c>
      <c r="S30" s="5">
        <v>225</v>
      </c>
      <c r="T30" s="5">
        <v>291</v>
      </c>
      <c r="U30" s="5">
        <v>367</v>
      </c>
      <c r="V30" s="5">
        <v>367</v>
      </c>
      <c r="W30" s="5">
        <v>367</v>
      </c>
      <c r="X30" s="5">
        <v>1520</v>
      </c>
      <c r="Y30" s="5">
        <v>1520</v>
      </c>
      <c r="Z30" s="5">
        <v>1520</v>
      </c>
    </row>
    <row r="31" spans="1:26">
      <c r="A31" s="5"/>
      <c r="B31" s="5">
        <v>12</v>
      </c>
      <c r="C31" s="5">
        <v>273</v>
      </c>
      <c r="D31" s="5">
        <v>273</v>
      </c>
      <c r="F31" s="15" t="s">
        <v>29</v>
      </c>
      <c r="G31" s="5">
        <v>2150</v>
      </c>
      <c r="H31" s="5">
        <v>2150</v>
      </c>
      <c r="I31" s="5">
        <v>2150</v>
      </c>
      <c r="J31" s="5">
        <v>790</v>
      </c>
      <c r="K31" s="5">
        <v>790</v>
      </c>
      <c r="L31" s="5">
        <v>790</v>
      </c>
      <c r="M31" s="5">
        <v>1210</v>
      </c>
      <c r="N31" s="5">
        <v>1030</v>
      </c>
      <c r="O31" s="5">
        <v>547</v>
      </c>
      <c r="P31" s="5">
        <v>245</v>
      </c>
      <c r="Q31" s="5">
        <v>189</v>
      </c>
      <c r="R31" s="5">
        <v>175</v>
      </c>
      <c r="S31" s="5">
        <v>226</v>
      </c>
      <c r="T31" s="5">
        <v>396</v>
      </c>
      <c r="U31" s="5">
        <v>444</v>
      </c>
      <c r="V31" s="5">
        <v>444</v>
      </c>
      <c r="W31" s="5">
        <v>444</v>
      </c>
      <c r="X31" s="5">
        <v>934</v>
      </c>
      <c r="Y31" s="5">
        <v>934</v>
      </c>
      <c r="Z31" s="5">
        <v>934</v>
      </c>
    </row>
    <row r="32" spans="1:26">
      <c r="A32" s="5"/>
      <c r="B32" s="5">
        <v>1</v>
      </c>
      <c r="C32" s="5">
        <v>212</v>
      </c>
      <c r="D32" s="5">
        <v>212</v>
      </c>
      <c r="F32" s="15" t="s">
        <v>30</v>
      </c>
      <c r="G32" s="5">
        <v>737</v>
      </c>
      <c r="H32" s="5">
        <v>737</v>
      </c>
      <c r="I32" s="5">
        <v>737</v>
      </c>
      <c r="J32" s="5">
        <v>780</v>
      </c>
      <c r="K32" s="5">
        <v>780</v>
      </c>
      <c r="L32" s="5">
        <v>780</v>
      </c>
      <c r="M32" s="5">
        <v>721</v>
      </c>
      <c r="N32" s="5">
        <v>624</v>
      </c>
      <c r="O32" s="5">
        <v>362</v>
      </c>
      <c r="P32" s="5">
        <v>195</v>
      </c>
      <c r="Q32" s="5">
        <v>189</v>
      </c>
      <c r="R32" s="5">
        <v>175</v>
      </c>
      <c r="S32" s="5">
        <v>226</v>
      </c>
      <c r="T32" s="5">
        <v>396</v>
      </c>
      <c r="U32" s="5">
        <v>444</v>
      </c>
      <c r="V32" s="5">
        <v>444</v>
      </c>
      <c r="W32" s="5">
        <v>444</v>
      </c>
      <c r="X32" s="5">
        <v>934</v>
      </c>
      <c r="Y32" s="5">
        <v>934</v>
      </c>
      <c r="Z32" s="5">
        <v>934</v>
      </c>
    </row>
    <row r="33" spans="1:26">
      <c r="A33" s="5"/>
      <c r="B33" s="5">
        <v>2</v>
      </c>
      <c r="C33" s="5">
        <v>196</v>
      </c>
      <c r="D33" s="5">
        <v>196</v>
      </c>
      <c r="F33" s="15" t="s">
        <v>31</v>
      </c>
      <c r="G33" s="5">
        <v>737</v>
      </c>
      <c r="H33" s="5">
        <v>737</v>
      </c>
      <c r="I33" s="5">
        <v>737</v>
      </c>
      <c r="J33" s="5">
        <v>780</v>
      </c>
      <c r="K33" s="5">
        <v>780</v>
      </c>
      <c r="L33" s="5">
        <v>780</v>
      </c>
      <c r="M33" s="5">
        <v>721</v>
      </c>
      <c r="N33" s="5">
        <v>624</v>
      </c>
      <c r="O33" s="5">
        <v>362</v>
      </c>
      <c r="P33" s="5">
        <v>195</v>
      </c>
      <c r="Q33" s="5">
        <v>136</v>
      </c>
      <c r="R33" s="5">
        <v>153</v>
      </c>
      <c r="S33" s="5">
        <v>186</v>
      </c>
      <c r="T33" s="5">
        <v>245</v>
      </c>
      <c r="U33" s="5">
        <v>311</v>
      </c>
      <c r="V33" s="5">
        <v>311</v>
      </c>
      <c r="W33" s="5">
        <v>311</v>
      </c>
      <c r="X33" s="5">
        <v>793</v>
      </c>
      <c r="Y33" s="5">
        <v>793</v>
      </c>
      <c r="Z33" s="5">
        <v>793</v>
      </c>
    </row>
    <row r="34" spans="1:26">
      <c r="A34" s="5"/>
      <c r="B34" s="5">
        <v>3</v>
      </c>
      <c r="C34" s="5">
        <v>275</v>
      </c>
      <c r="D34" s="5">
        <v>275</v>
      </c>
      <c r="F34" s="15" t="s">
        <v>32</v>
      </c>
      <c r="G34" s="5">
        <v>788</v>
      </c>
      <c r="H34" s="5">
        <v>788</v>
      </c>
      <c r="I34" s="5">
        <v>788</v>
      </c>
      <c r="J34" s="5">
        <v>397</v>
      </c>
      <c r="K34" s="5">
        <v>397</v>
      </c>
      <c r="L34" s="5">
        <v>397</v>
      </c>
      <c r="M34" s="5">
        <v>458</v>
      </c>
      <c r="N34" s="5">
        <v>333</v>
      </c>
      <c r="O34" s="5">
        <v>210</v>
      </c>
      <c r="P34" s="5">
        <v>127</v>
      </c>
      <c r="Q34" s="5">
        <v>81.900000000000006</v>
      </c>
      <c r="R34" s="5">
        <v>106</v>
      </c>
      <c r="S34" s="5">
        <v>150</v>
      </c>
      <c r="T34" s="5">
        <v>222</v>
      </c>
      <c r="U34" s="5">
        <v>379</v>
      </c>
      <c r="V34" s="5">
        <v>379</v>
      </c>
      <c r="W34" s="5">
        <v>379</v>
      </c>
      <c r="X34" s="5">
        <v>527</v>
      </c>
      <c r="Y34" s="5">
        <v>527</v>
      </c>
      <c r="Z34" s="5">
        <v>527</v>
      </c>
    </row>
    <row r="35" spans="1:26">
      <c r="A35" s="5"/>
      <c r="B35" s="5">
        <v>4</v>
      </c>
      <c r="C35" s="5">
        <v>424</v>
      </c>
      <c r="D35" s="5">
        <v>424</v>
      </c>
      <c r="F35" s="15" t="s">
        <v>33</v>
      </c>
      <c r="G35" s="5">
        <v>830</v>
      </c>
      <c r="H35" s="5">
        <v>830</v>
      </c>
      <c r="I35" s="5">
        <v>830</v>
      </c>
      <c r="J35" s="5">
        <v>1410</v>
      </c>
      <c r="K35" s="5">
        <v>1410</v>
      </c>
      <c r="L35" s="5">
        <v>1410</v>
      </c>
      <c r="M35" s="5">
        <v>1170</v>
      </c>
      <c r="N35" s="5">
        <v>945</v>
      </c>
      <c r="O35" s="5">
        <v>422</v>
      </c>
      <c r="P35" s="5">
        <v>211</v>
      </c>
      <c r="Q35" s="5">
        <v>156</v>
      </c>
      <c r="R35" s="5">
        <v>157</v>
      </c>
      <c r="S35" s="5">
        <v>214</v>
      </c>
      <c r="T35" s="5">
        <v>238</v>
      </c>
      <c r="U35" s="5">
        <v>334</v>
      </c>
      <c r="V35" s="5">
        <v>334</v>
      </c>
      <c r="W35" s="5">
        <v>334</v>
      </c>
      <c r="X35" s="5">
        <v>661</v>
      </c>
      <c r="Y35" s="5">
        <v>661</v>
      </c>
      <c r="Z35" s="5">
        <v>661</v>
      </c>
    </row>
    <row r="36" spans="1:26">
      <c r="A36" s="5"/>
      <c r="B36" s="5">
        <v>5</v>
      </c>
      <c r="C36" s="5">
        <v>709</v>
      </c>
      <c r="D36" s="5">
        <v>709</v>
      </c>
      <c r="F36" s="15" t="s">
        <v>34</v>
      </c>
      <c r="G36" s="5">
        <v>683</v>
      </c>
      <c r="H36" s="5">
        <v>683</v>
      </c>
      <c r="I36" s="5">
        <v>683</v>
      </c>
      <c r="J36" s="5">
        <v>997</v>
      </c>
      <c r="K36" s="5">
        <v>997</v>
      </c>
      <c r="L36" s="5">
        <v>997</v>
      </c>
      <c r="M36" s="5">
        <v>859</v>
      </c>
      <c r="N36" s="5">
        <v>778</v>
      </c>
      <c r="O36" s="5">
        <v>414</v>
      </c>
      <c r="P36" s="5">
        <v>213</v>
      </c>
      <c r="Q36" s="5">
        <v>170</v>
      </c>
      <c r="R36" s="5">
        <v>160</v>
      </c>
      <c r="S36" s="5">
        <v>221</v>
      </c>
      <c r="T36" s="5">
        <v>358</v>
      </c>
      <c r="U36" s="5">
        <v>644</v>
      </c>
      <c r="V36" s="5">
        <v>644</v>
      </c>
      <c r="W36" s="5">
        <v>644</v>
      </c>
      <c r="X36" s="5">
        <v>785</v>
      </c>
      <c r="Y36" s="5">
        <v>785</v>
      </c>
      <c r="Z36" s="5">
        <v>785</v>
      </c>
    </row>
    <row r="37" spans="1:26">
      <c r="A37" s="5"/>
      <c r="B37" s="5"/>
      <c r="C37" s="5"/>
      <c r="D37" s="5">
        <v>709</v>
      </c>
      <c r="F37" s="15" t="s">
        <v>35</v>
      </c>
      <c r="G37" s="5">
        <v>1870</v>
      </c>
      <c r="H37" s="5">
        <v>1870</v>
      </c>
      <c r="I37" s="5">
        <v>1870</v>
      </c>
      <c r="J37" s="5">
        <v>1290</v>
      </c>
      <c r="K37" s="5">
        <v>1290</v>
      </c>
      <c r="L37" s="5">
        <v>1290</v>
      </c>
      <c r="M37" s="5">
        <v>1466</v>
      </c>
      <c r="N37" s="5">
        <v>1620</v>
      </c>
      <c r="O37" s="5">
        <v>579</v>
      </c>
      <c r="P37" s="5">
        <v>270</v>
      </c>
      <c r="Q37" s="5">
        <v>233</v>
      </c>
      <c r="R37" s="5">
        <v>225</v>
      </c>
      <c r="S37" s="5">
        <v>239</v>
      </c>
      <c r="T37" s="5">
        <v>322</v>
      </c>
      <c r="U37" s="5">
        <v>399.48</v>
      </c>
      <c r="V37" s="5">
        <v>399.48</v>
      </c>
      <c r="W37" s="5">
        <v>399.48</v>
      </c>
      <c r="X37" s="5">
        <v>642</v>
      </c>
      <c r="Y37" s="5">
        <v>642</v>
      </c>
      <c r="Z37" s="5">
        <v>642</v>
      </c>
    </row>
    <row r="38" spans="1:26">
      <c r="A38" s="5"/>
      <c r="B38" s="5"/>
      <c r="C38" s="5"/>
      <c r="D38" s="5">
        <v>709</v>
      </c>
      <c r="F38" s="15" t="s">
        <v>36</v>
      </c>
      <c r="G38" s="5">
        <v>850</v>
      </c>
      <c r="H38" s="5">
        <v>850</v>
      </c>
      <c r="I38" s="5">
        <v>850</v>
      </c>
      <c r="J38" s="5">
        <v>817</v>
      </c>
      <c r="K38" s="5">
        <v>817</v>
      </c>
      <c r="L38" s="5">
        <v>817</v>
      </c>
      <c r="M38" s="5">
        <v>597</v>
      </c>
      <c r="N38" s="5">
        <v>683</v>
      </c>
      <c r="O38" s="5">
        <v>358</v>
      </c>
      <c r="P38" s="5">
        <v>200</v>
      </c>
      <c r="Q38" s="5">
        <v>151</v>
      </c>
      <c r="R38" s="5">
        <v>162</v>
      </c>
      <c r="S38" s="5">
        <v>243</v>
      </c>
      <c r="T38" s="5">
        <v>309</v>
      </c>
      <c r="U38" s="5">
        <v>323</v>
      </c>
      <c r="V38" s="5">
        <v>323</v>
      </c>
      <c r="W38" s="5">
        <v>323</v>
      </c>
      <c r="X38" s="5">
        <v>1237</v>
      </c>
      <c r="Y38" s="5">
        <v>1237</v>
      </c>
      <c r="Z38" s="5">
        <v>1237</v>
      </c>
    </row>
    <row r="39" spans="1:26">
      <c r="A39" s="5"/>
      <c r="B39" s="5">
        <v>6</v>
      </c>
      <c r="C39" s="5">
        <v>1020</v>
      </c>
      <c r="D39" s="5">
        <v>1020</v>
      </c>
      <c r="F39" s="15" t="s">
        <v>37</v>
      </c>
      <c r="G39" s="5">
        <v>1320</v>
      </c>
      <c r="H39" s="5">
        <v>1320</v>
      </c>
      <c r="I39" s="5">
        <v>1320</v>
      </c>
      <c r="J39" s="5">
        <v>1000</v>
      </c>
      <c r="K39" s="5">
        <v>1000</v>
      </c>
      <c r="L39" s="5">
        <v>1000</v>
      </c>
      <c r="M39" s="5">
        <v>892</v>
      </c>
      <c r="N39" s="5">
        <v>743</v>
      </c>
      <c r="O39" s="5">
        <v>416</v>
      </c>
      <c r="P39" s="5">
        <v>224</v>
      </c>
      <c r="Q39" s="5">
        <v>184</v>
      </c>
      <c r="R39" s="5">
        <v>171</v>
      </c>
      <c r="S39" s="5">
        <v>241</v>
      </c>
      <c r="T39" s="5">
        <v>363</v>
      </c>
      <c r="U39" s="5">
        <v>358</v>
      </c>
      <c r="V39" s="5">
        <v>358</v>
      </c>
      <c r="W39" s="5">
        <v>358</v>
      </c>
      <c r="X39" s="5">
        <v>457</v>
      </c>
      <c r="Y39" s="5">
        <v>457</v>
      </c>
      <c r="Z39" s="5">
        <v>457</v>
      </c>
    </row>
    <row r="40" spans="1:26">
      <c r="A40" s="5"/>
      <c r="B40" s="5"/>
      <c r="C40" s="5"/>
      <c r="D40" s="5">
        <v>1020</v>
      </c>
      <c r="F40" s="15" t="s">
        <v>38</v>
      </c>
      <c r="G40" s="5">
        <v>862</v>
      </c>
      <c r="H40" s="5">
        <v>862</v>
      </c>
      <c r="I40" s="5">
        <v>862</v>
      </c>
      <c r="J40" s="5">
        <v>869</v>
      </c>
      <c r="K40" s="5">
        <v>869</v>
      </c>
      <c r="L40" s="5">
        <v>869</v>
      </c>
      <c r="M40" s="5">
        <v>980</v>
      </c>
      <c r="N40" s="5">
        <v>1010</v>
      </c>
      <c r="O40" s="5">
        <v>477</v>
      </c>
      <c r="P40" s="5">
        <v>228</v>
      </c>
      <c r="Q40" s="5">
        <v>172</v>
      </c>
      <c r="R40" s="5">
        <v>201</v>
      </c>
      <c r="S40" s="5">
        <v>243</v>
      </c>
      <c r="T40" s="5">
        <v>393</v>
      </c>
      <c r="U40" s="5">
        <v>611</v>
      </c>
      <c r="V40" s="5">
        <v>611</v>
      </c>
      <c r="W40" s="5">
        <v>611</v>
      </c>
      <c r="X40" s="5">
        <v>952.9</v>
      </c>
      <c r="Y40" s="5">
        <v>952.9</v>
      </c>
      <c r="Z40" s="5">
        <v>952.9</v>
      </c>
    </row>
    <row r="41" spans="1:26">
      <c r="A41" s="5"/>
      <c r="B41" s="5"/>
      <c r="C41" s="5"/>
      <c r="D41" s="5">
        <v>1020</v>
      </c>
      <c r="F41" s="15" t="s">
        <v>39</v>
      </c>
      <c r="G41" s="5">
        <v>1536</v>
      </c>
      <c r="H41" s="5">
        <v>1536</v>
      </c>
      <c r="I41" s="5">
        <v>1536</v>
      </c>
      <c r="J41" s="5">
        <v>1420</v>
      </c>
      <c r="K41" s="5">
        <v>1420</v>
      </c>
      <c r="L41" s="5">
        <v>1420</v>
      </c>
      <c r="M41" s="5">
        <v>1460</v>
      </c>
      <c r="N41" s="5">
        <v>1100</v>
      </c>
      <c r="O41" s="5">
        <v>568.29999999999995</v>
      </c>
      <c r="P41" s="5">
        <v>299</v>
      </c>
      <c r="Q41" s="5">
        <v>216</v>
      </c>
      <c r="R41" s="5">
        <v>224</v>
      </c>
      <c r="S41" s="5">
        <v>265</v>
      </c>
      <c r="T41" s="5">
        <v>310</v>
      </c>
      <c r="U41" s="5">
        <v>371</v>
      </c>
      <c r="V41" s="5">
        <v>371</v>
      </c>
      <c r="W41" s="5">
        <v>371</v>
      </c>
      <c r="X41" s="5">
        <v>958</v>
      </c>
      <c r="Y41" s="5">
        <v>958</v>
      </c>
      <c r="Z41" s="5">
        <v>958</v>
      </c>
    </row>
    <row r="42" spans="1:26">
      <c r="A42" s="5">
        <v>1972</v>
      </c>
      <c r="B42" s="5">
        <v>7</v>
      </c>
      <c r="C42" s="5">
        <v>1920</v>
      </c>
      <c r="D42" s="5">
        <v>1920</v>
      </c>
      <c r="F42" s="15" t="s">
        <v>40</v>
      </c>
      <c r="G42" s="5">
        <v>1994</v>
      </c>
      <c r="H42" s="5">
        <v>1994</v>
      </c>
      <c r="I42" s="5">
        <v>1994</v>
      </c>
      <c r="J42" s="5">
        <v>635</v>
      </c>
      <c r="K42" s="5">
        <v>635</v>
      </c>
      <c r="L42" s="5">
        <v>635</v>
      </c>
      <c r="M42" s="5">
        <v>888</v>
      </c>
      <c r="N42" s="5">
        <v>553</v>
      </c>
      <c r="O42" s="15">
        <v>416</v>
      </c>
      <c r="P42" s="15">
        <v>207</v>
      </c>
      <c r="Q42" s="14">
        <v>178.54838709677401</v>
      </c>
      <c r="R42" s="14">
        <v>157.5</v>
      </c>
      <c r="S42" s="14">
        <v>208.64516129032299</v>
      </c>
      <c r="T42" s="14">
        <v>383.8</v>
      </c>
      <c r="U42" s="14">
        <v>459.677419354839</v>
      </c>
      <c r="V42" s="14">
        <v>459.677419354839</v>
      </c>
      <c r="W42" s="14">
        <v>459.677419354839</v>
      </c>
      <c r="X42" s="14">
        <v>1166.86666666667</v>
      </c>
      <c r="Y42" s="14">
        <v>1166.86666666667</v>
      </c>
      <c r="Z42" s="14">
        <v>1166.86666666667</v>
      </c>
    </row>
    <row r="43" spans="1:26">
      <c r="A43" s="5"/>
      <c r="B43" s="5"/>
      <c r="C43" s="5"/>
      <c r="D43" s="5">
        <v>1920</v>
      </c>
      <c r="F43" s="15" t="s">
        <v>41</v>
      </c>
      <c r="G43" s="14">
        <v>1570.8064516129</v>
      </c>
      <c r="H43" s="14">
        <v>1570.8064516129</v>
      </c>
      <c r="I43" s="14">
        <v>1570.8064516129</v>
      </c>
      <c r="J43" s="14">
        <v>896.74193548387098</v>
      </c>
      <c r="K43" s="14">
        <v>896.74193548387098</v>
      </c>
      <c r="L43" s="14">
        <v>896.74193548387098</v>
      </c>
      <c r="M43" s="14">
        <v>985.13333333333298</v>
      </c>
      <c r="N43" s="14">
        <v>1019.87096774194</v>
      </c>
      <c r="O43" s="14">
        <v>603.86666666666702</v>
      </c>
      <c r="P43" s="14">
        <v>325.96774193548401</v>
      </c>
      <c r="Q43" s="14">
        <v>237.96774193548401</v>
      </c>
      <c r="R43" s="14">
        <v>237.79310344827601</v>
      </c>
      <c r="S43" s="14">
        <v>300.77419354838702</v>
      </c>
      <c r="T43" s="14">
        <v>521.70000000000005</v>
      </c>
      <c r="U43" s="14">
        <v>822.70967741935499</v>
      </c>
      <c r="V43" s="14">
        <v>822.70967741935499</v>
      </c>
      <c r="W43" s="14">
        <v>822.70967741935499</v>
      </c>
      <c r="X43" s="14">
        <v>1072</v>
      </c>
      <c r="Y43" s="14">
        <v>1072</v>
      </c>
      <c r="Z43" s="14">
        <v>1072</v>
      </c>
    </row>
    <row r="44" spans="1:26">
      <c r="A44" s="5"/>
      <c r="B44" s="5"/>
      <c r="C44" s="5"/>
      <c r="D44" s="5">
        <v>1920</v>
      </c>
      <c r="F44" s="15" t="s">
        <v>42</v>
      </c>
      <c r="G44" s="14">
        <v>2577.7419354838698</v>
      </c>
      <c r="H44" s="14">
        <v>2577.7419354838698</v>
      </c>
      <c r="I44" s="14">
        <v>2577.7419354838698</v>
      </c>
      <c r="J44" s="14">
        <v>2275.4838709677401</v>
      </c>
      <c r="K44" s="14">
        <v>2275.4838709677401</v>
      </c>
      <c r="L44" s="14">
        <v>2275.4838709677401</v>
      </c>
      <c r="M44" s="14">
        <v>1065.3333333333301</v>
      </c>
      <c r="N44" s="14">
        <v>893.77419354838696</v>
      </c>
      <c r="O44" s="14">
        <v>472.96666666666698</v>
      </c>
      <c r="P44" s="14">
        <v>243.51612903225799</v>
      </c>
      <c r="Q44" s="14">
        <v>243.870967741935</v>
      </c>
      <c r="R44" s="14">
        <v>264.607142857143</v>
      </c>
      <c r="S44" s="14">
        <v>326.41935483870998</v>
      </c>
      <c r="T44" s="14">
        <v>312.26666666666699</v>
      </c>
      <c r="U44" s="14">
        <v>663.77419354838696</v>
      </c>
      <c r="V44" s="14">
        <v>663.77419354838696</v>
      </c>
      <c r="W44" s="14">
        <v>663.77419354838696</v>
      </c>
      <c r="X44" s="14">
        <v>886.6</v>
      </c>
      <c r="Y44" s="14">
        <v>886.6</v>
      </c>
      <c r="Z44" s="14">
        <v>886.6</v>
      </c>
    </row>
    <row r="45" spans="1:26">
      <c r="A45" s="5"/>
      <c r="B45" s="5">
        <v>8</v>
      </c>
      <c r="C45" s="5">
        <v>980</v>
      </c>
      <c r="D45" s="5">
        <v>980</v>
      </c>
      <c r="F45" s="15" t="s">
        <v>43</v>
      </c>
      <c r="G45" s="14">
        <v>1586.7419354838701</v>
      </c>
      <c r="H45" s="14">
        <v>1586.7419354838701</v>
      </c>
      <c r="I45" s="14">
        <v>1586.7419354838701</v>
      </c>
      <c r="J45" s="14">
        <v>1193.5161290322601</v>
      </c>
      <c r="K45" s="14">
        <v>1193.5161290322601</v>
      </c>
      <c r="L45" s="14">
        <v>1193.5161290322601</v>
      </c>
      <c r="M45" s="14">
        <v>732.36666666666702</v>
      </c>
      <c r="N45" s="14">
        <v>614.64516129032302</v>
      </c>
      <c r="O45" s="14">
        <v>357.96666666666698</v>
      </c>
      <c r="P45" s="14">
        <v>183.70967741935499</v>
      </c>
      <c r="Q45" s="14">
        <v>153.51612903225799</v>
      </c>
      <c r="R45" s="14">
        <v>154.53571428571399</v>
      </c>
      <c r="S45" s="14">
        <v>217.96774193548401</v>
      </c>
      <c r="T45" s="14">
        <v>340.03333333333302</v>
      </c>
      <c r="U45" s="14">
        <v>431.74193548387098</v>
      </c>
      <c r="V45" s="14">
        <v>431.74193548387098</v>
      </c>
      <c r="W45" s="14">
        <v>431.74193548387098</v>
      </c>
      <c r="X45" s="14">
        <v>955.13333333333298</v>
      </c>
      <c r="Y45" s="14">
        <v>955.13333333333298</v>
      </c>
      <c r="Z45" s="14">
        <v>955.13333333333298</v>
      </c>
    </row>
    <row r="46" spans="1:26">
      <c r="A46" s="5"/>
      <c r="B46" s="5"/>
      <c r="C46" s="5"/>
      <c r="D46" s="5">
        <v>980</v>
      </c>
      <c r="F46" s="15" t="s">
        <v>44</v>
      </c>
      <c r="G46" s="14">
        <v>958.58064516129002</v>
      </c>
      <c r="H46" s="14">
        <v>958.58064516129002</v>
      </c>
      <c r="I46" s="14">
        <v>958.58064516129002</v>
      </c>
      <c r="J46" s="14">
        <v>1046.2903225806499</v>
      </c>
      <c r="K46" s="14">
        <v>1046.2903225806499</v>
      </c>
      <c r="L46" s="14">
        <v>1046.2903225806499</v>
      </c>
      <c r="M46" s="14">
        <v>1471.4</v>
      </c>
      <c r="N46" s="14">
        <v>1016.70967741935</v>
      </c>
      <c r="O46" s="14">
        <v>446.76666666666699</v>
      </c>
      <c r="P46" s="14">
        <v>267.193548387097</v>
      </c>
      <c r="Q46" s="14">
        <v>224.58064516128999</v>
      </c>
      <c r="R46" s="14">
        <v>210.25</v>
      </c>
      <c r="S46" s="14">
        <v>253.90322580645201</v>
      </c>
      <c r="T46" s="14">
        <v>286.2</v>
      </c>
      <c r="U46" s="14">
        <v>336.16129032258101</v>
      </c>
      <c r="V46" s="14">
        <v>336.16129032258101</v>
      </c>
      <c r="W46" s="14">
        <v>336.16129032258101</v>
      </c>
      <c r="X46" s="14">
        <v>758.16666666666697</v>
      </c>
      <c r="Y46" s="14">
        <v>758.16666666666697</v>
      </c>
      <c r="Z46" s="14">
        <v>758.16666666666697</v>
      </c>
    </row>
    <row r="47" spans="1:26">
      <c r="A47" s="5"/>
      <c r="B47" s="5"/>
      <c r="C47" s="5"/>
      <c r="D47" s="5">
        <v>980</v>
      </c>
      <c r="F47" s="15" t="s">
        <v>45</v>
      </c>
      <c r="G47" s="14">
        <v>1273.41935483871</v>
      </c>
      <c r="H47" s="14">
        <v>1273.41935483871</v>
      </c>
      <c r="I47" s="14">
        <v>1273.41935483871</v>
      </c>
      <c r="J47" s="14">
        <v>479.12903225806502</v>
      </c>
      <c r="K47" s="14">
        <v>479.12903225806502</v>
      </c>
      <c r="L47" s="14">
        <v>479.12903225806502</v>
      </c>
      <c r="M47" s="14">
        <v>663.36666666666702</v>
      </c>
      <c r="N47" s="14">
        <v>700.322580645161</v>
      </c>
      <c r="O47" s="14">
        <v>350</v>
      </c>
      <c r="P47" s="14">
        <v>205.70967741935499</v>
      </c>
      <c r="Q47" s="14">
        <v>137.90322580645201</v>
      </c>
      <c r="R47" s="14">
        <v>140.13793103448299</v>
      </c>
      <c r="S47" s="14">
        <v>197.83870967741899</v>
      </c>
      <c r="T47" s="14">
        <v>308.60000000000002</v>
      </c>
      <c r="U47" s="14">
        <v>477.41935483870998</v>
      </c>
      <c r="V47" s="14">
        <v>477.41935483870998</v>
      </c>
      <c r="W47" s="14">
        <v>477.41935483870998</v>
      </c>
      <c r="X47" s="14">
        <v>603.9</v>
      </c>
      <c r="Y47" s="14">
        <v>603.9</v>
      </c>
      <c r="Z47" s="14">
        <v>603.9</v>
      </c>
    </row>
    <row r="48" spans="1:26">
      <c r="A48" s="5"/>
      <c r="B48" s="5">
        <v>9</v>
      </c>
      <c r="C48" s="5">
        <v>759</v>
      </c>
      <c r="D48" s="5">
        <v>759</v>
      </c>
      <c r="F48" s="47" t="s">
        <v>119</v>
      </c>
      <c r="G48" s="45">
        <v>704</v>
      </c>
      <c r="H48" s="45">
        <v>704</v>
      </c>
      <c r="I48" s="45">
        <v>704</v>
      </c>
      <c r="J48" s="45">
        <v>558</v>
      </c>
      <c r="K48" s="45">
        <v>558</v>
      </c>
      <c r="L48" s="45">
        <v>558</v>
      </c>
      <c r="M48" s="45">
        <v>629</v>
      </c>
      <c r="N48" s="45">
        <v>779</v>
      </c>
      <c r="O48" s="45">
        <v>396</v>
      </c>
      <c r="P48" s="45">
        <v>210</v>
      </c>
      <c r="Q48" s="45">
        <v>157</v>
      </c>
      <c r="R48" s="45">
        <v>173</v>
      </c>
      <c r="S48" s="45">
        <v>203</v>
      </c>
      <c r="T48" s="45">
        <v>309</v>
      </c>
      <c r="U48" s="45">
        <v>400</v>
      </c>
      <c r="V48" s="45">
        <v>400</v>
      </c>
      <c r="W48" s="45">
        <v>400</v>
      </c>
      <c r="X48" s="45">
        <v>934</v>
      </c>
      <c r="Y48" s="45">
        <v>934</v>
      </c>
      <c r="Z48" s="45">
        <v>934</v>
      </c>
    </row>
    <row r="49" spans="1:26">
      <c r="A49" s="5"/>
      <c r="B49" s="5">
        <v>10</v>
      </c>
      <c r="C49" s="5">
        <v>608</v>
      </c>
      <c r="D49" s="5">
        <v>608</v>
      </c>
      <c r="F49" s="47" t="s">
        <v>120</v>
      </c>
      <c r="G49" s="45">
        <v>606</v>
      </c>
      <c r="H49" s="45">
        <v>606</v>
      </c>
      <c r="I49" s="45">
        <v>606</v>
      </c>
      <c r="J49" s="45">
        <v>575</v>
      </c>
      <c r="K49" s="45">
        <v>575</v>
      </c>
      <c r="L49" s="45">
        <v>575</v>
      </c>
      <c r="M49" s="45">
        <v>1157</v>
      </c>
      <c r="N49" s="45">
        <v>1470</v>
      </c>
      <c r="O49" s="45">
        <v>665</v>
      </c>
      <c r="P49" s="45">
        <v>314</v>
      </c>
      <c r="Q49" s="45">
        <v>195.08</v>
      </c>
      <c r="R49" s="45">
        <v>186.64</v>
      </c>
      <c r="S49" s="45">
        <v>237.53</v>
      </c>
      <c r="T49" s="45">
        <v>433.65</v>
      </c>
      <c r="U49" s="45">
        <v>868.62</v>
      </c>
      <c r="V49" s="45">
        <v>868.62</v>
      </c>
      <c r="W49" s="45">
        <v>868.62</v>
      </c>
      <c r="X49" s="45">
        <v>1079.78</v>
      </c>
      <c r="Y49" s="45">
        <v>1079.78</v>
      </c>
      <c r="Z49" s="45">
        <v>1079.78</v>
      </c>
    </row>
    <row r="50" spans="1:26">
      <c r="A50" s="5"/>
      <c r="B50" s="5">
        <v>11</v>
      </c>
      <c r="C50" s="5">
        <v>338</v>
      </c>
      <c r="D50" s="5">
        <v>338</v>
      </c>
      <c r="F50" s="47" t="s">
        <v>121</v>
      </c>
      <c r="G50" s="45">
        <v>2291.2199999999998</v>
      </c>
      <c r="H50" s="45">
        <v>2291.2199999999998</v>
      </c>
      <c r="I50" s="45">
        <v>2291.2199999999998</v>
      </c>
      <c r="J50" s="45">
        <v>1271.6500000000001</v>
      </c>
      <c r="K50" s="45">
        <v>1271.6500000000001</v>
      </c>
      <c r="L50" s="45">
        <v>1271.6500000000001</v>
      </c>
      <c r="M50" s="45">
        <v>2131.75</v>
      </c>
      <c r="N50" s="45">
        <v>1361.15</v>
      </c>
      <c r="O50" s="45">
        <v>669.37</v>
      </c>
      <c r="P50" s="45">
        <v>356.63</v>
      </c>
      <c r="Q50" s="45">
        <v>271.73</v>
      </c>
      <c r="R50" s="45">
        <v>274.43</v>
      </c>
      <c r="S50" s="45">
        <v>314.37</v>
      </c>
      <c r="T50" s="45">
        <v>590.24</v>
      </c>
      <c r="U50" s="45">
        <v>842.22</v>
      </c>
      <c r="V50" s="45">
        <v>842.22</v>
      </c>
      <c r="W50" s="45">
        <v>842.22</v>
      </c>
      <c r="X50" s="45">
        <v>1702.12</v>
      </c>
      <c r="Y50" s="45">
        <v>1702.12</v>
      </c>
      <c r="Z50" s="45">
        <v>1702.12</v>
      </c>
    </row>
    <row r="51" spans="1:26">
      <c r="A51" s="5"/>
      <c r="B51" s="5">
        <v>12</v>
      </c>
      <c r="C51" s="5">
        <v>193</v>
      </c>
      <c r="D51" s="5">
        <v>193</v>
      </c>
      <c r="F51" s="47" t="s">
        <v>122</v>
      </c>
      <c r="G51" s="45">
        <v>2344.5</v>
      </c>
      <c r="H51" s="45">
        <v>2344.5</v>
      </c>
      <c r="I51" s="45">
        <v>2344.5</v>
      </c>
      <c r="J51" s="45">
        <v>1674.32</v>
      </c>
      <c r="K51" s="45">
        <v>1674.32</v>
      </c>
      <c r="L51" s="45">
        <v>1674.32</v>
      </c>
      <c r="M51" s="45">
        <v>1795.99</v>
      </c>
      <c r="N51" s="45">
        <v>1391.02</v>
      </c>
      <c r="O51" s="45">
        <v>744.79</v>
      </c>
      <c r="P51" s="45">
        <v>332.47</v>
      </c>
      <c r="Q51" s="45">
        <v>284</v>
      </c>
      <c r="R51" s="45">
        <v>268.57</v>
      </c>
      <c r="S51" s="45">
        <v>362.33</v>
      </c>
      <c r="T51" s="45">
        <v>868.62</v>
      </c>
      <c r="U51" s="45">
        <v>1230.04</v>
      </c>
      <c r="V51" s="45">
        <v>1230.04</v>
      </c>
      <c r="W51" s="45">
        <v>1230.04</v>
      </c>
      <c r="X51" s="45">
        <v>3011.66</v>
      </c>
      <c r="Y51" s="45">
        <v>3011.66</v>
      </c>
      <c r="Z51" s="45">
        <v>3011.66</v>
      </c>
    </row>
    <row r="52" spans="1:26">
      <c r="A52" s="5"/>
      <c r="B52" s="5">
        <v>1</v>
      </c>
      <c r="C52" s="5">
        <v>161</v>
      </c>
      <c r="D52" s="5">
        <v>161</v>
      </c>
      <c r="F52" s="47" t="s">
        <v>123</v>
      </c>
      <c r="G52" s="45">
        <v>2482.415</v>
      </c>
      <c r="H52" s="45">
        <v>2482.415</v>
      </c>
      <c r="I52" s="45">
        <v>2482.415</v>
      </c>
      <c r="J52" s="45">
        <v>3066.404</v>
      </c>
      <c r="K52" s="45">
        <v>3066.404</v>
      </c>
      <c r="L52" s="45">
        <v>3066.404</v>
      </c>
      <c r="M52" s="45">
        <v>1937.2249999999999</v>
      </c>
      <c r="N52" s="45">
        <v>1776.586</v>
      </c>
      <c r="O52" s="45">
        <v>1062.0909999999999</v>
      </c>
      <c r="P52" s="45">
        <v>564.66700000000003</v>
      </c>
      <c r="Q52" s="45">
        <v>242</v>
      </c>
      <c r="R52" s="45">
        <v>268</v>
      </c>
      <c r="S52" s="45">
        <v>356</v>
      </c>
      <c r="T52" s="45">
        <v>420</v>
      </c>
      <c r="U52" s="45">
        <v>433</v>
      </c>
      <c r="V52" s="45">
        <v>433</v>
      </c>
      <c r="W52" s="45">
        <v>433</v>
      </c>
      <c r="X52" s="45">
        <v>1019</v>
      </c>
      <c r="Y52" s="45">
        <v>1019</v>
      </c>
      <c r="Z52" s="45">
        <v>1019</v>
      </c>
    </row>
    <row r="53" spans="1:26">
      <c r="A53" s="5"/>
      <c r="B53" s="5">
        <v>2</v>
      </c>
      <c r="C53" s="5">
        <v>160</v>
      </c>
      <c r="D53" s="5">
        <v>160</v>
      </c>
      <c r="F53" s="47" t="s">
        <v>124</v>
      </c>
      <c r="G53" s="45">
        <v>1117</v>
      </c>
      <c r="H53" s="45">
        <v>1117</v>
      </c>
      <c r="I53" s="45">
        <v>1117</v>
      </c>
      <c r="J53" s="45">
        <v>949</v>
      </c>
      <c r="K53" s="45">
        <v>949</v>
      </c>
      <c r="L53" s="45">
        <v>949</v>
      </c>
      <c r="M53" s="45">
        <v>1233</v>
      </c>
      <c r="N53" s="45">
        <v>1401</v>
      </c>
      <c r="O53" s="45">
        <v>714</v>
      </c>
      <c r="P53" s="45">
        <v>309</v>
      </c>
      <c r="Q53" s="45">
        <v>219</v>
      </c>
      <c r="R53" s="45">
        <v>219</v>
      </c>
      <c r="S53" s="45">
        <v>332</v>
      </c>
      <c r="T53" s="45">
        <v>337</v>
      </c>
      <c r="U53" s="45">
        <v>420</v>
      </c>
      <c r="V53" s="45">
        <v>420</v>
      </c>
      <c r="W53" s="45">
        <v>420</v>
      </c>
      <c r="X53" s="45">
        <v>801</v>
      </c>
      <c r="Y53" s="45">
        <v>801</v>
      </c>
      <c r="Z53" s="45">
        <v>801</v>
      </c>
    </row>
    <row r="54" spans="1:26">
      <c r="A54" s="5"/>
      <c r="B54" s="5">
        <v>3</v>
      </c>
      <c r="C54" s="5">
        <v>211</v>
      </c>
      <c r="D54" s="5">
        <v>211</v>
      </c>
      <c r="F54" s="4" t="s">
        <v>125</v>
      </c>
      <c r="G54" s="46">
        <v>815.20864516129097</v>
      </c>
      <c r="H54" s="46">
        <v>815.20864516129097</v>
      </c>
      <c r="I54" s="46">
        <v>815.20864516129097</v>
      </c>
      <c r="J54" s="46">
        <v>656.70658064516101</v>
      </c>
      <c r="K54" s="46">
        <v>656.70658064516101</v>
      </c>
      <c r="L54" s="46">
        <v>656.70658064516101</v>
      </c>
      <c r="M54" s="46">
        <v>895.32780000000002</v>
      </c>
      <c r="N54" s="46">
        <v>1013.06803225806</v>
      </c>
      <c r="O54" s="46">
        <v>550.13570000000004</v>
      </c>
      <c r="P54" s="46">
        <v>245.271806451613</v>
      </c>
      <c r="Q54" s="46">
        <v>174.851483870968</v>
      </c>
      <c r="R54" s="46">
        <v>195.054</v>
      </c>
      <c r="S54" s="46">
        <v>239.232709677419</v>
      </c>
      <c r="T54" s="46">
        <v>371.720233333333</v>
      </c>
      <c r="U54" s="46">
        <v>581.21600000000001</v>
      </c>
      <c r="V54" s="46">
        <v>581.21600000000001</v>
      </c>
      <c r="W54" s="46">
        <v>581.21600000000001</v>
      </c>
      <c r="X54" s="46">
        <v>763.85910000000001</v>
      </c>
      <c r="Y54" s="46">
        <v>763.85910000000001</v>
      </c>
      <c r="Z54" s="46">
        <v>763.85910000000001</v>
      </c>
    </row>
    <row r="55" spans="1:26">
      <c r="A55" s="5"/>
      <c r="B55" s="5">
        <v>4</v>
      </c>
      <c r="C55" s="5">
        <v>273</v>
      </c>
      <c r="D55" s="5">
        <v>273</v>
      </c>
      <c r="F55" s="4" t="s">
        <v>126</v>
      </c>
      <c r="G55" s="46">
        <v>1108.8638064516099</v>
      </c>
      <c r="H55" s="46">
        <v>1108.8638064516099</v>
      </c>
      <c r="I55" s="46">
        <v>1108.8638064516099</v>
      </c>
      <c r="J55" s="46">
        <v>1122.13567741935</v>
      </c>
      <c r="K55" s="46">
        <v>1122.13567741935</v>
      </c>
      <c r="L55" s="46">
        <v>1122.13567741935</v>
      </c>
      <c r="M55" s="46">
        <v>1220.87116666667</v>
      </c>
      <c r="N55" s="46">
        <v>1669.7652903225801</v>
      </c>
      <c r="O55" s="46">
        <v>677.24993333333305</v>
      </c>
      <c r="P55" s="46">
        <v>219.82609677419401</v>
      </c>
      <c r="Q55" s="46">
        <v>146.17647058823499</v>
      </c>
      <c r="R55" s="46">
        <v>135</v>
      </c>
      <c r="S55" s="46">
        <v>255.85294117647101</v>
      </c>
      <c r="T55" s="46">
        <v>467.25</v>
      </c>
      <c r="U55" s="46">
        <v>769.97435897435901</v>
      </c>
      <c r="V55" s="46">
        <v>769.97435897435901</v>
      </c>
      <c r="W55" s="46">
        <v>769.97435897435901</v>
      </c>
      <c r="X55" s="46">
        <v>1399.0449438202199</v>
      </c>
      <c r="Y55" s="46">
        <v>1399.0449438202199</v>
      </c>
      <c r="Z55" s="46">
        <v>1399.0449438202199</v>
      </c>
    </row>
    <row r="56" spans="1:26">
      <c r="A56" s="5"/>
      <c r="B56" s="5">
        <v>5</v>
      </c>
      <c r="C56" s="5">
        <v>542</v>
      </c>
      <c r="D56" s="5">
        <v>542</v>
      </c>
    </row>
    <row r="57" spans="1:26">
      <c r="A57" s="5"/>
      <c r="B57" s="5"/>
      <c r="C57" s="5"/>
      <c r="D57" s="5">
        <v>542</v>
      </c>
    </row>
    <row r="58" spans="1:26">
      <c r="A58" s="5"/>
      <c r="B58" s="5"/>
      <c r="C58" s="5"/>
      <c r="D58" s="5">
        <v>542</v>
      </c>
    </row>
    <row r="59" spans="1:26">
      <c r="A59" s="5"/>
      <c r="B59" s="5">
        <v>6</v>
      </c>
      <c r="C59" s="5">
        <v>1020</v>
      </c>
      <c r="D59" s="5">
        <v>1020</v>
      </c>
    </row>
    <row r="60" spans="1:26">
      <c r="A60" s="5"/>
      <c r="B60" s="5"/>
      <c r="C60" s="5"/>
      <c r="D60" s="5">
        <v>1020</v>
      </c>
    </row>
    <row r="61" spans="1:26">
      <c r="A61" s="5"/>
      <c r="B61" s="5"/>
      <c r="C61" s="5"/>
      <c r="D61" s="5">
        <v>1020</v>
      </c>
    </row>
    <row r="62" spans="1:26">
      <c r="A62" s="5">
        <v>1973</v>
      </c>
      <c r="B62" s="5">
        <v>7</v>
      </c>
      <c r="C62" s="5">
        <v>845</v>
      </c>
      <c r="D62" s="5">
        <v>845</v>
      </c>
    </row>
    <row r="63" spans="1:26">
      <c r="A63" s="5"/>
      <c r="B63" s="5"/>
      <c r="C63" s="5"/>
      <c r="D63" s="5">
        <v>845</v>
      </c>
    </row>
    <row r="64" spans="1:26">
      <c r="A64" s="5"/>
      <c r="B64" s="5"/>
      <c r="C64" s="5"/>
      <c r="D64" s="5">
        <v>845</v>
      </c>
    </row>
    <row r="65" spans="1:4">
      <c r="A65" s="5"/>
      <c r="B65" s="5">
        <v>8</v>
      </c>
      <c r="C65" s="5">
        <v>878</v>
      </c>
      <c r="D65" s="5">
        <v>878</v>
      </c>
    </row>
    <row r="66" spans="1:4">
      <c r="A66" s="5"/>
      <c r="B66" s="5"/>
      <c r="C66" s="5"/>
      <c r="D66" s="5">
        <v>878</v>
      </c>
    </row>
    <row r="67" spans="1:4">
      <c r="A67" s="5"/>
      <c r="B67" s="5"/>
      <c r="C67" s="5"/>
      <c r="D67" s="5">
        <v>878</v>
      </c>
    </row>
    <row r="68" spans="1:4">
      <c r="A68" s="5"/>
      <c r="B68" s="5">
        <v>9</v>
      </c>
      <c r="C68" s="5">
        <v>960</v>
      </c>
      <c r="D68" s="5">
        <v>960</v>
      </c>
    </row>
    <row r="69" spans="1:4">
      <c r="A69" s="5"/>
      <c r="B69" s="5">
        <v>10</v>
      </c>
      <c r="C69" s="5">
        <v>1020</v>
      </c>
      <c r="D69" s="5">
        <v>1020</v>
      </c>
    </row>
    <row r="70" spans="1:4">
      <c r="A70" s="5"/>
      <c r="B70" s="5">
        <v>11</v>
      </c>
      <c r="C70" s="5">
        <v>489</v>
      </c>
      <c r="D70" s="5">
        <v>489</v>
      </c>
    </row>
    <row r="71" spans="1:4">
      <c r="A71" s="5"/>
      <c r="B71" s="5">
        <v>12</v>
      </c>
      <c r="C71" s="5">
        <v>229</v>
      </c>
      <c r="D71" s="5">
        <v>229</v>
      </c>
    </row>
    <row r="72" spans="1:4">
      <c r="A72" s="5"/>
      <c r="B72" s="5">
        <v>1</v>
      </c>
      <c r="C72" s="5">
        <v>146</v>
      </c>
      <c r="D72" s="5">
        <v>146</v>
      </c>
    </row>
    <row r="73" spans="1:4">
      <c r="A73" s="5"/>
      <c r="B73" s="5">
        <v>2</v>
      </c>
      <c r="C73" s="5">
        <v>155</v>
      </c>
      <c r="D73" s="5">
        <v>155</v>
      </c>
    </row>
    <row r="74" spans="1:4">
      <c r="A74" s="5"/>
      <c r="B74" s="5">
        <v>3</v>
      </c>
      <c r="C74" s="5">
        <v>208</v>
      </c>
      <c r="D74" s="5">
        <v>208</v>
      </c>
    </row>
    <row r="75" spans="1:4">
      <c r="A75" s="5"/>
      <c r="B75" s="5">
        <v>4</v>
      </c>
      <c r="C75" s="5">
        <v>299</v>
      </c>
      <c r="D75" s="5">
        <v>299</v>
      </c>
    </row>
    <row r="76" spans="1:4">
      <c r="A76" s="5"/>
      <c r="B76" s="5">
        <v>5</v>
      </c>
      <c r="C76" s="5">
        <v>489</v>
      </c>
      <c r="D76" s="5">
        <v>489</v>
      </c>
    </row>
    <row r="77" spans="1:4">
      <c r="A77" s="5"/>
      <c r="B77" s="5"/>
      <c r="C77" s="5"/>
      <c r="D77" s="5">
        <v>489</v>
      </c>
    </row>
    <row r="78" spans="1:4">
      <c r="A78" s="5"/>
      <c r="B78" s="5"/>
      <c r="C78" s="5"/>
      <c r="D78" s="5">
        <v>489</v>
      </c>
    </row>
    <row r="79" spans="1:4">
      <c r="A79" s="5"/>
      <c r="B79" s="5">
        <v>6</v>
      </c>
      <c r="C79" s="5">
        <v>875</v>
      </c>
      <c r="D79" s="5">
        <v>875</v>
      </c>
    </row>
    <row r="80" spans="1:4">
      <c r="A80" s="5"/>
      <c r="B80" s="5"/>
      <c r="C80" s="5"/>
      <c r="D80" s="5">
        <v>875</v>
      </c>
    </row>
    <row r="81" spans="1:4">
      <c r="A81" s="5"/>
      <c r="B81" s="5"/>
      <c r="C81" s="5"/>
      <c r="D81" s="5">
        <v>875</v>
      </c>
    </row>
    <row r="82" spans="1:4">
      <c r="A82" s="5">
        <v>1974</v>
      </c>
      <c r="B82" s="5">
        <v>7</v>
      </c>
      <c r="C82" s="5">
        <v>857</v>
      </c>
      <c r="D82" s="5">
        <v>857</v>
      </c>
    </row>
    <row r="83" spans="1:4">
      <c r="A83" s="5"/>
      <c r="B83" s="5"/>
      <c r="C83" s="5"/>
      <c r="D83" s="5">
        <v>857</v>
      </c>
    </row>
    <row r="84" spans="1:4">
      <c r="A84" s="5"/>
      <c r="B84" s="5"/>
      <c r="C84" s="5"/>
      <c r="D84" s="5">
        <v>857</v>
      </c>
    </row>
    <row r="85" spans="1:4">
      <c r="A85" s="5"/>
      <c r="B85" s="5">
        <v>8</v>
      </c>
      <c r="C85" s="5">
        <v>997</v>
      </c>
      <c r="D85" s="5">
        <v>997</v>
      </c>
    </row>
    <row r="86" spans="1:4">
      <c r="A86" s="5"/>
      <c r="B86" s="5"/>
      <c r="C86" s="5"/>
      <c r="D86" s="5">
        <v>997</v>
      </c>
    </row>
    <row r="87" spans="1:4">
      <c r="A87" s="5"/>
      <c r="B87" s="5"/>
      <c r="C87" s="5"/>
      <c r="D87" s="5">
        <v>997</v>
      </c>
    </row>
    <row r="88" spans="1:4">
      <c r="A88" s="5"/>
      <c r="B88" s="5">
        <v>9</v>
      </c>
      <c r="C88" s="5">
        <v>1340</v>
      </c>
      <c r="D88" s="5">
        <v>1340</v>
      </c>
    </row>
    <row r="89" spans="1:4">
      <c r="A89" s="5"/>
      <c r="B89" s="5">
        <v>10</v>
      </c>
      <c r="C89" s="5">
        <v>936</v>
      </c>
      <c r="D89" s="5">
        <v>936</v>
      </c>
    </row>
    <row r="90" spans="1:4">
      <c r="A90" s="5"/>
      <c r="B90" s="5">
        <v>11</v>
      </c>
      <c r="C90" s="5">
        <v>566</v>
      </c>
      <c r="D90" s="5">
        <v>566</v>
      </c>
    </row>
    <row r="91" spans="1:4">
      <c r="A91" s="5"/>
      <c r="B91" s="5">
        <v>12</v>
      </c>
      <c r="C91" s="5">
        <v>254</v>
      </c>
      <c r="D91" s="5">
        <v>254</v>
      </c>
    </row>
    <row r="92" spans="1:4">
      <c r="A92" s="5"/>
      <c r="B92" s="5">
        <v>1</v>
      </c>
      <c r="C92" s="5">
        <v>168</v>
      </c>
      <c r="D92" s="5">
        <v>168</v>
      </c>
    </row>
    <row r="93" spans="1:4">
      <c r="A93" s="5"/>
      <c r="B93" s="5">
        <v>2</v>
      </c>
      <c r="C93" s="5">
        <v>164</v>
      </c>
      <c r="D93" s="5">
        <v>164</v>
      </c>
    </row>
    <row r="94" spans="1:4">
      <c r="A94" s="5"/>
      <c r="B94" s="5">
        <v>3</v>
      </c>
      <c r="C94" s="5">
        <v>227</v>
      </c>
      <c r="D94" s="5">
        <v>227</v>
      </c>
    </row>
    <row r="95" spans="1:4">
      <c r="A95" s="5"/>
      <c r="B95" s="5">
        <v>4</v>
      </c>
      <c r="C95" s="5">
        <v>312</v>
      </c>
      <c r="D95" s="5">
        <v>312</v>
      </c>
    </row>
    <row r="96" spans="1:4">
      <c r="A96" s="5"/>
      <c r="B96" s="5">
        <v>5</v>
      </c>
      <c r="C96" s="5">
        <v>688</v>
      </c>
      <c r="D96" s="5">
        <v>688</v>
      </c>
    </row>
    <row r="97" spans="1:4">
      <c r="A97" s="5"/>
      <c r="B97" s="5"/>
      <c r="C97" s="5"/>
      <c r="D97" s="5">
        <v>688</v>
      </c>
    </row>
    <row r="98" spans="1:4">
      <c r="A98" s="5"/>
      <c r="B98" s="5"/>
      <c r="C98" s="5"/>
      <c r="D98" s="5">
        <v>688</v>
      </c>
    </row>
    <row r="99" spans="1:4">
      <c r="A99" s="5"/>
      <c r="B99" s="5">
        <v>6</v>
      </c>
      <c r="C99" s="5">
        <v>1140</v>
      </c>
      <c r="D99" s="5">
        <v>1140</v>
      </c>
    </row>
    <row r="100" spans="1:4">
      <c r="A100" s="5"/>
      <c r="B100" s="5"/>
      <c r="C100" s="5"/>
      <c r="D100" s="5">
        <v>1140</v>
      </c>
    </row>
    <row r="101" spans="1:4">
      <c r="A101" s="5"/>
      <c r="B101" s="5"/>
      <c r="C101" s="5"/>
      <c r="D101" s="5">
        <v>1140</v>
      </c>
    </row>
    <row r="102" spans="1:4">
      <c r="A102" s="5">
        <v>1975</v>
      </c>
      <c r="B102" s="5">
        <v>7</v>
      </c>
      <c r="C102" s="5">
        <v>2310</v>
      </c>
      <c r="D102" s="5">
        <v>2310</v>
      </c>
    </row>
    <row r="103" spans="1:4">
      <c r="A103" s="5"/>
      <c r="B103" s="5"/>
      <c r="C103" s="5"/>
      <c r="D103" s="5">
        <v>2310</v>
      </c>
    </row>
    <row r="104" spans="1:4">
      <c r="A104" s="5"/>
      <c r="B104" s="5"/>
      <c r="C104" s="5"/>
      <c r="D104" s="5">
        <v>2310</v>
      </c>
    </row>
    <row r="105" spans="1:4">
      <c r="A105" s="5"/>
      <c r="B105" s="5">
        <v>8</v>
      </c>
      <c r="C105" s="5">
        <v>1840</v>
      </c>
      <c r="D105" s="5">
        <v>1840</v>
      </c>
    </row>
    <row r="106" spans="1:4">
      <c r="A106" s="5"/>
      <c r="B106" s="5"/>
      <c r="C106" s="5"/>
      <c r="D106" s="5">
        <v>1840</v>
      </c>
    </row>
    <row r="107" spans="1:4">
      <c r="A107" s="5"/>
      <c r="B107" s="5"/>
      <c r="C107" s="5"/>
      <c r="D107" s="5">
        <v>1840</v>
      </c>
    </row>
    <row r="108" spans="1:4">
      <c r="A108" s="5"/>
      <c r="B108" s="5">
        <v>9</v>
      </c>
      <c r="C108" s="5">
        <v>1690</v>
      </c>
      <c r="D108" s="5">
        <v>1690</v>
      </c>
    </row>
    <row r="109" spans="1:4">
      <c r="A109" s="5"/>
      <c r="B109" s="5">
        <v>10</v>
      </c>
      <c r="C109" s="5">
        <v>1970</v>
      </c>
      <c r="D109" s="5">
        <v>1970</v>
      </c>
    </row>
    <row r="110" spans="1:4">
      <c r="A110" s="5"/>
      <c r="B110" s="5">
        <v>11</v>
      </c>
      <c r="C110" s="5">
        <v>862</v>
      </c>
      <c r="D110" s="5">
        <v>862</v>
      </c>
    </row>
    <row r="111" spans="1:4">
      <c r="A111" s="5"/>
      <c r="B111" s="5">
        <v>12</v>
      </c>
      <c r="C111" s="5">
        <v>345</v>
      </c>
      <c r="D111" s="5">
        <v>345</v>
      </c>
    </row>
    <row r="112" spans="1:4">
      <c r="A112" s="5"/>
      <c r="B112" s="5">
        <v>1</v>
      </c>
      <c r="C112" s="5">
        <v>249</v>
      </c>
      <c r="D112" s="5">
        <v>249</v>
      </c>
    </row>
    <row r="113" spans="1:4">
      <c r="A113" s="5"/>
      <c r="B113" s="5">
        <v>2</v>
      </c>
      <c r="C113" s="5">
        <v>250</v>
      </c>
      <c r="D113" s="5">
        <v>250</v>
      </c>
    </row>
    <row r="114" spans="1:4">
      <c r="A114" s="5"/>
      <c r="B114" s="5">
        <v>3</v>
      </c>
      <c r="C114" s="5">
        <v>318</v>
      </c>
      <c r="D114" s="5">
        <v>318</v>
      </c>
    </row>
    <row r="115" spans="1:4">
      <c r="A115" s="5"/>
      <c r="B115" s="5">
        <v>4</v>
      </c>
      <c r="C115" s="5">
        <v>449</v>
      </c>
      <c r="D115" s="5">
        <v>449</v>
      </c>
    </row>
    <row r="116" spans="1:4">
      <c r="A116" s="5"/>
      <c r="B116" s="5">
        <v>5</v>
      </c>
      <c r="C116" s="5">
        <v>661</v>
      </c>
      <c r="D116" s="5">
        <v>661</v>
      </c>
    </row>
    <row r="117" spans="1:4">
      <c r="A117" s="5"/>
      <c r="B117" s="5"/>
      <c r="C117" s="5"/>
      <c r="D117" s="5">
        <v>661</v>
      </c>
    </row>
    <row r="118" spans="1:4">
      <c r="A118" s="5"/>
      <c r="B118" s="5"/>
      <c r="C118" s="5"/>
      <c r="D118" s="5">
        <v>661</v>
      </c>
    </row>
    <row r="119" spans="1:4">
      <c r="A119" s="5"/>
      <c r="B119" s="5">
        <v>6</v>
      </c>
      <c r="C119" s="5">
        <v>1140</v>
      </c>
      <c r="D119" s="5">
        <v>1140</v>
      </c>
    </row>
    <row r="120" spans="1:4">
      <c r="A120" s="5"/>
      <c r="B120" s="5"/>
      <c r="C120" s="5"/>
      <c r="D120" s="5">
        <v>1140</v>
      </c>
    </row>
    <row r="121" spans="1:4">
      <c r="A121" s="5"/>
      <c r="B121" s="5"/>
      <c r="C121" s="5"/>
      <c r="D121" s="5">
        <v>1140</v>
      </c>
    </row>
    <row r="122" spans="1:4">
      <c r="A122" s="5">
        <v>1976</v>
      </c>
      <c r="B122" s="5">
        <v>7</v>
      </c>
      <c r="C122" s="5">
        <v>1500</v>
      </c>
      <c r="D122" s="5">
        <v>1500</v>
      </c>
    </row>
    <row r="123" spans="1:4">
      <c r="A123" s="5"/>
      <c r="B123" s="5"/>
      <c r="C123" s="5"/>
      <c r="D123" s="5">
        <v>1500</v>
      </c>
    </row>
    <row r="124" spans="1:4">
      <c r="A124" s="5"/>
      <c r="B124" s="5"/>
      <c r="C124" s="5"/>
      <c r="D124" s="5">
        <v>1500</v>
      </c>
    </row>
    <row r="125" spans="1:4">
      <c r="A125" s="5"/>
      <c r="B125" s="5">
        <v>8</v>
      </c>
      <c r="C125" s="5">
        <v>1940</v>
      </c>
      <c r="D125" s="5">
        <v>1940</v>
      </c>
    </row>
    <row r="126" spans="1:4">
      <c r="A126" s="5"/>
      <c r="B126" s="5"/>
      <c r="C126" s="5"/>
      <c r="D126" s="5">
        <v>1940</v>
      </c>
    </row>
    <row r="127" spans="1:4">
      <c r="A127" s="5"/>
      <c r="B127" s="5"/>
      <c r="C127" s="5"/>
      <c r="D127" s="5">
        <v>1940</v>
      </c>
    </row>
    <row r="128" spans="1:4">
      <c r="A128" s="5"/>
      <c r="B128" s="5">
        <v>9</v>
      </c>
      <c r="C128" s="5">
        <v>1880</v>
      </c>
      <c r="D128" s="5">
        <v>1880</v>
      </c>
    </row>
    <row r="129" spans="1:4">
      <c r="A129" s="5"/>
      <c r="B129" s="5">
        <v>10</v>
      </c>
      <c r="C129" s="5">
        <v>995</v>
      </c>
      <c r="D129" s="5">
        <v>995</v>
      </c>
    </row>
    <row r="130" spans="1:4">
      <c r="A130" s="5"/>
      <c r="B130" s="5">
        <v>11</v>
      </c>
      <c r="C130" s="5">
        <v>512</v>
      </c>
      <c r="D130" s="5">
        <v>512</v>
      </c>
    </row>
    <row r="131" spans="1:4">
      <c r="A131" s="5"/>
      <c r="B131" s="5">
        <v>12</v>
      </c>
      <c r="C131" s="5">
        <v>263</v>
      </c>
      <c r="D131" s="5">
        <v>263</v>
      </c>
    </row>
    <row r="132" spans="1:4">
      <c r="A132" s="5"/>
      <c r="B132" s="5">
        <v>1</v>
      </c>
      <c r="C132" s="5">
        <v>199</v>
      </c>
      <c r="D132" s="5">
        <v>199</v>
      </c>
    </row>
    <row r="133" spans="1:4">
      <c r="A133" s="5"/>
      <c r="B133" s="5">
        <v>2</v>
      </c>
      <c r="C133" s="5">
        <v>186</v>
      </c>
      <c r="D133" s="5">
        <v>186</v>
      </c>
    </row>
    <row r="134" spans="1:4">
      <c r="A134" s="5"/>
      <c r="B134" s="5">
        <v>3</v>
      </c>
      <c r="C134" s="5">
        <v>279</v>
      </c>
      <c r="D134" s="5">
        <v>279</v>
      </c>
    </row>
    <row r="135" spans="1:4">
      <c r="A135" s="5"/>
      <c r="B135" s="5">
        <v>4</v>
      </c>
      <c r="C135" s="5">
        <v>643</v>
      </c>
      <c r="D135" s="5">
        <v>643</v>
      </c>
    </row>
    <row r="136" spans="1:4">
      <c r="A136" s="5"/>
      <c r="B136" s="5">
        <v>5</v>
      </c>
      <c r="C136" s="5">
        <v>854</v>
      </c>
      <c r="D136" s="5">
        <v>854</v>
      </c>
    </row>
    <row r="137" spans="1:4">
      <c r="A137" s="5"/>
      <c r="B137" s="5"/>
      <c r="C137" s="5"/>
      <c r="D137" s="5">
        <v>854</v>
      </c>
    </row>
    <row r="138" spans="1:4">
      <c r="A138" s="5"/>
      <c r="B138" s="5"/>
      <c r="C138" s="5"/>
      <c r="D138" s="5">
        <v>854</v>
      </c>
    </row>
    <row r="139" spans="1:4">
      <c r="A139" s="5"/>
      <c r="B139" s="5">
        <v>6</v>
      </c>
      <c r="C139" s="5">
        <v>967</v>
      </c>
      <c r="D139" s="5">
        <v>967</v>
      </c>
    </row>
    <row r="140" spans="1:4">
      <c r="A140" s="5"/>
      <c r="B140" s="5"/>
      <c r="C140" s="5"/>
      <c r="D140" s="5">
        <v>967</v>
      </c>
    </row>
    <row r="141" spans="1:4">
      <c r="A141" s="5"/>
      <c r="B141" s="5"/>
      <c r="C141" s="5"/>
      <c r="D141" s="5">
        <v>967</v>
      </c>
    </row>
    <row r="142" spans="1:4">
      <c r="A142" s="5">
        <v>1977</v>
      </c>
      <c r="B142" s="5">
        <v>7</v>
      </c>
      <c r="C142" s="5">
        <v>791</v>
      </c>
      <c r="D142" s="5">
        <v>791</v>
      </c>
    </row>
    <row r="143" spans="1:4">
      <c r="A143" s="5"/>
      <c r="B143" s="5"/>
      <c r="C143" s="5"/>
      <c r="D143" s="5">
        <v>791</v>
      </c>
    </row>
    <row r="144" spans="1:4">
      <c r="A144" s="5"/>
      <c r="B144" s="5"/>
      <c r="C144" s="5"/>
      <c r="D144" s="5">
        <v>791</v>
      </c>
    </row>
    <row r="145" spans="1:4">
      <c r="A145" s="5"/>
      <c r="B145" s="5">
        <v>8</v>
      </c>
      <c r="C145" s="5">
        <v>676</v>
      </c>
      <c r="D145" s="5">
        <v>676</v>
      </c>
    </row>
    <row r="146" spans="1:4">
      <c r="A146" s="5"/>
      <c r="B146" s="5"/>
      <c r="C146" s="5"/>
      <c r="D146" s="5">
        <v>676</v>
      </c>
    </row>
    <row r="147" spans="1:4">
      <c r="A147" s="5"/>
      <c r="B147" s="5"/>
      <c r="C147" s="5"/>
      <c r="D147" s="5">
        <v>676</v>
      </c>
    </row>
    <row r="148" spans="1:4">
      <c r="A148" s="5"/>
      <c r="B148" s="5">
        <v>9</v>
      </c>
      <c r="C148" s="5">
        <v>636</v>
      </c>
      <c r="D148" s="5">
        <v>636</v>
      </c>
    </row>
    <row r="149" spans="1:4">
      <c r="A149" s="5"/>
      <c r="B149" s="5">
        <v>10</v>
      </c>
      <c r="C149" s="5">
        <v>519</v>
      </c>
      <c r="D149" s="5">
        <v>519</v>
      </c>
    </row>
    <row r="150" spans="1:4">
      <c r="A150" s="5"/>
      <c r="B150" s="5">
        <v>11</v>
      </c>
      <c r="C150" s="5">
        <v>306</v>
      </c>
      <c r="D150" s="5">
        <v>306</v>
      </c>
    </row>
    <row r="151" spans="1:4">
      <c r="A151" s="5"/>
      <c r="B151" s="5">
        <v>12</v>
      </c>
      <c r="C151" s="5">
        <v>160</v>
      </c>
      <c r="D151" s="5">
        <v>160</v>
      </c>
    </row>
    <row r="152" spans="1:4">
      <c r="A152" s="5"/>
      <c r="B152" s="5">
        <v>1</v>
      </c>
      <c r="C152" s="5">
        <v>116</v>
      </c>
      <c r="D152" s="5">
        <v>116</v>
      </c>
    </row>
    <row r="153" spans="1:4">
      <c r="A153" s="5"/>
      <c r="B153" s="5">
        <v>2</v>
      </c>
      <c r="C153" s="5">
        <v>123</v>
      </c>
      <c r="D153" s="5">
        <v>123</v>
      </c>
    </row>
    <row r="154" spans="1:4">
      <c r="A154" s="5"/>
      <c r="B154" s="5">
        <v>3</v>
      </c>
      <c r="C154" s="5">
        <v>178</v>
      </c>
      <c r="D154" s="5">
        <v>178</v>
      </c>
    </row>
    <row r="155" spans="1:4">
      <c r="A155" s="5"/>
      <c r="B155" s="5">
        <v>4</v>
      </c>
      <c r="C155" s="5">
        <v>478</v>
      </c>
      <c r="D155" s="5">
        <v>478</v>
      </c>
    </row>
    <row r="156" spans="1:4">
      <c r="A156" s="5"/>
      <c r="B156" s="5">
        <v>5</v>
      </c>
      <c r="C156" s="5">
        <v>549</v>
      </c>
      <c r="D156" s="5">
        <v>549</v>
      </c>
    </row>
    <row r="157" spans="1:4">
      <c r="A157" s="5"/>
      <c r="B157" s="5"/>
      <c r="C157" s="5"/>
      <c r="D157" s="5">
        <v>549</v>
      </c>
    </row>
    <row r="158" spans="1:4">
      <c r="A158" s="5"/>
      <c r="B158" s="5"/>
      <c r="C158" s="5"/>
      <c r="D158" s="5">
        <v>549</v>
      </c>
    </row>
    <row r="159" spans="1:4">
      <c r="A159" s="5"/>
      <c r="B159" s="5">
        <v>6</v>
      </c>
      <c r="C159" s="5">
        <v>774</v>
      </c>
      <c r="D159" s="5">
        <v>774</v>
      </c>
    </row>
    <row r="160" spans="1:4">
      <c r="A160" s="5"/>
      <c r="B160" s="5"/>
      <c r="C160" s="5"/>
      <c r="D160" s="5">
        <v>774</v>
      </c>
    </row>
    <row r="161" spans="1:4">
      <c r="A161" s="5"/>
      <c r="B161" s="5"/>
      <c r="C161" s="5"/>
      <c r="D161" s="5">
        <v>774</v>
      </c>
    </row>
    <row r="162" spans="1:4">
      <c r="A162" s="5">
        <v>1978</v>
      </c>
      <c r="B162" s="5">
        <v>7</v>
      </c>
      <c r="C162" s="5">
        <v>564</v>
      </c>
      <c r="D162" s="5">
        <v>564</v>
      </c>
    </row>
    <row r="163" spans="1:4">
      <c r="A163" s="5"/>
      <c r="B163" s="5"/>
      <c r="C163" s="5"/>
      <c r="D163" s="5">
        <v>564</v>
      </c>
    </row>
    <row r="164" spans="1:4">
      <c r="A164" s="5"/>
      <c r="B164" s="5"/>
      <c r="C164" s="5"/>
      <c r="D164" s="5">
        <v>564</v>
      </c>
    </row>
    <row r="165" spans="1:4">
      <c r="A165" s="5"/>
      <c r="B165" s="5">
        <v>8</v>
      </c>
      <c r="C165" s="5">
        <v>1100</v>
      </c>
      <c r="D165" s="5">
        <v>1100</v>
      </c>
    </row>
    <row r="166" spans="1:4">
      <c r="A166" s="5"/>
      <c r="B166" s="5"/>
      <c r="C166" s="5"/>
      <c r="D166" s="5">
        <v>1100</v>
      </c>
    </row>
    <row r="167" spans="1:4">
      <c r="A167" s="5"/>
      <c r="B167" s="5"/>
      <c r="C167" s="5"/>
      <c r="D167" s="5">
        <v>1100</v>
      </c>
    </row>
    <row r="168" spans="1:4">
      <c r="A168" s="5"/>
      <c r="B168" s="5">
        <v>9</v>
      </c>
      <c r="C168" s="5">
        <v>1760</v>
      </c>
      <c r="D168" s="5">
        <v>1760</v>
      </c>
    </row>
    <row r="169" spans="1:4">
      <c r="A169" s="5"/>
      <c r="B169" s="5">
        <v>10</v>
      </c>
      <c r="C169" s="5">
        <v>999</v>
      </c>
      <c r="D169" s="5">
        <v>999</v>
      </c>
    </row>
    <row r="170" spans="1:4">
      <c r="A170" s="5"/>
      <c r="B170" s="5">
        <v>11</v>
      </c>
      <c r="C170" s="5">
        <v>503</v>
      </c>
      <c r="D170" s="5">
        <v>503</v>
      </c>
    </row>
    <row r="171" spans="1:4">
      <c r="A171" s="5"/>
      <c r="B171" s="5">
        <v>12</v>
      </c>
      <c r="C171" s="5">
        <v>228</v>
      </c>
      <c r="D171" s="5">
        <v>228</v>
      </c>
    </row>
    <row r="172" spans="1:4">
      <c r="A172" s="5"/>
      <c r="B172" s="5">
        <v>1</v>
      </c>
      <c r="C172" s="5">
        <v>165</v>
      </c>
      <c r="D172" s="5">
        <v>165</v>
      </c>
    </row>
    <row r="173" spans="1:4">
      <c r="A173" s="5"/>
      <c r="B173" s="5">
        <v>2</v>
      </c>
      <c r="C173" s="5">
        <v>152</v>
      </c>
      <c r="D173" s="5">
        <v>152</v>
      </c>
    </row>
    <row r="174" spans="1:4">
      <c r="A174" s="5"/>
      <c r="B174" s="5">
        <v>3</v>
      </c>
      <c r="C174" s="5">
        <v>196</v>
      </c>
      <c r="D174" s="5">
        <v>196</v>
      </c>
    </row>
    <row r="175" spans="1:4">
      <c r="A175" s="5"/>
      <c r="B175" s="5">
        <v>4</v>
      </c>
      <c r="C175" s="5">
        <v>380</v>
      </c>
      <c r="D175" s="5">
        <v>380</v>
      </c>
    </row>
    <row r="176" spans="1:4">
      <c r="A176" s="5"/>
      <c r="B176" s="5">
        <v>5</v>
      </c>
      <c r="C176" s="5">
        <v>390</v>
      </c>
      <c r="D176" s="5">
        <v>390</v>
      </c>
    </row>
    <row r="177" spans="1:4">
      <c r="A177" s="5"/>
      <c r="B177" s="5"/>
      <c r="C177" s="5"/>
      <c r="D177" s="5">
        <v>390</v>
      </c>
    </row>
    <row r="178" spans="1:4">
      <c r="A178" s="5"/>
      <c r="B178" s="5"/>
      <c r="C178" s="5"/>
      <c r="D178" s="5">
        <v>390</v>
      </c>
    </row>
    <row r="179" spans="1:4">
      <c r="A179" s="5"/>
      <c r="B179" s="5">
        <v>6</v>
      </c>
      <c r="C179" s="5">
        <v>450</v>
      </c>
      <c r="D179" s="5">
        <v>450</v>
      </c>
    </row>
    <row r="180" spans="1:4">
      <c r="A180" s="5"/>
      <c r="B180" s="5"/>
      <c r="C180" s="5"/>
      <c r="D180" s="5">
        <v>450</v>
      </c>
    </row>
    <row r="181" spans="1:4">
      <c r="A181" s="5"/>
      <c r="B181" s="5"/>
      <c r="C181" s="5"/>
      <c r="D181" s="5">
        <v>450</v>
      </c>
    </row>
    <row r="182" spans="1:4">
      <c r="A182" s="5">
        <v>1979</v>
      </c>
      <c r="B182" s="5">
        <v>7</v>
      </c>
      <c r="C182" s="5">
        <v>1130</v>
      </c>
      <c r="D182" s="5">
        <v>1130</v>
      </c>
    </row>
    <row r="183" spans="1:4">
      <c r="A183" s="5"/>
      <c r="B183" s="5"/>
      <c r="C183" s="5"/>
      <c r="D183" s="5">
        <v>1130</v>
      </c>
    </row>
    <row r="184" spans="1:4">
      <c r="A184" s="5"/>
      <c r="B184" s="5"/>
      <c r="C184" s="5"/>
      <c r="D184" s="5">
        <v>1130</v>
      </c>
    </row>
    <row r="185" spans="1:4">
      <c r="A185" s="5"/>
      <c r="B185" s="5">
        <v>8</v>
      </c>
      <c r="C185" s="5">
        <v>1700</v>
      </c>
      <c r="D185" s="5">
        <v>1700</v>
      </c>
    </row>
    <row r="186" spans="1:4">
      <c r="A186" s="5"/>
      <c r="B186" s="5"/>
      <c r="C186" s="5"/>
      <c r="D186" s="5">
        <v>1700</v>
      </c>
    </row>
    <row r="187" spans="1:4">
      <c r="A187" s="5"/>
      <c r="B187" s="5"/>
      <c r="C187" s="5"/>
      <c r="D187" s="5">
        <v>1700</v>
      </c>
    </row>
    <row r="188" spans="1:4">
      <c r="A188" s="5"/>
      <c r="B188" s="5">
        <v>9</v>
      </c>
      <c r="C188" s="5">
        <v>1650</v>
      </c>
      <c r="D188" s="5">
        <v>1650</v>
      </c>
    </row>
    <row r="189" spans="1:4">
      <c r="A189" s="5"/>
      <c r="B189" s="5">
        <v>10</v>
      </c>
      <c r="C189" s="5">
        <v>939</v>
      </c>
      <c r="D189" s="5">
        <v>939</v>
      </c>
    </row>
    <row r="190" spans="1:4">
      <c r="A190" s="5"/>
      <c r="B190" s="5">
        <v>11</v>
      </c>
      <c r="C190" s="5">
        <v>410</v>
      </c>
      <c r="D190" s="5">
        <v>410</v>
      </c>
    </row>
    <row r="191" spans="1:4">
      <c r="A191" s="5"/>
      <c r="B191" s="5">
        <v>12</v>
      </c>
      <c r="C191" s="5">
        <v>217</v>
      </c>
      <c r="D191" s="5">
        <v>217</v>
      </c>
    </row>
    <row r="192" spans="1:4">
      <c r="A192" s="5"/>
      <c r="B192" s="5">
        <v>1</v>
      </c>
      <c r="C192" s="5">
        <v>151</v>
      </c>
      <c r="D192" s="5">
        <v>151</v>
      </c>
    </row>
    <row r="193" spans="1:4">
      <c r="A193" s="5"/>
      <c r="B193" s="5">
        <v>2</v>
      </c>
      <c r="C193" s="5">
        <v>149</v>
      </c>
      <c r="D193" s="5">
        <v>149</v>
      </c>
    </row>
    <row r="194" spans="1:4">
      <c r="A194" s="5"/>
      <c r="B194" s="5">
        <v>3</v>
      </c>
      <c r="C194" s="5">
        <v>212</v>
      </c>
      <c r="D194" s="5">
        <v>212</v>
      </c>
    </row>
    <row r="195" spans="1:4">
      <c r="A195" s="5"/>
      <c r="B195" s="5">
        <v>4</v>
      </c>
      <c r="C195" s="5">
        <v>308</v>
      </c>
      <c r="D195" s="5">
        <v>308</v>
      </c>
    </row>
    <row r="196" spans="1:4">
      <c r="A196" s="5"/>
      <c r="B196" s="5">
        <v>5</v>
      </c>
      <c r="C196" s="5">
        <v>340</v>
      </c>
      <c r="D196" s="5">
        <v>340</v>
      </c>
    </row>
    <row r="197" spans="1:4">
      <c r="A197" s="5"/>
      <c r="B197" s="5"/>
      <c r="C197" s="5"/>
      <c r="D197" s="5">
        <v>340</v>
      </c>
    </row>
    <row r="198" spans="1:4">
      <c r="A198" s="5"/>
      <c r="B198" s="5"/>
      <c r="C198" s="5"/>
      <c r="D198" s="5">
        <v>340</v>
      </c>
    </row>
    <row r="199" spans="1:4">
      <c r="A199" s="5"/>
      <c r="B199" s="5">
        <v>6</v>
      </c>
      <c r="C199" s="5">
        <v>619</v>
      </c>
      <c r="D199" s="5">
        <v>619</v>
      </c>
    </row>
    <row r="200" spans="1:4">
      <c r="A200" s="4"/>
      <c r="B200" s="4"/>
      <c r="C200" s="4"/>
      <c r="D200" s="5">
        <v>619</v>
      </c>
    </row>
    <row r="201" spans="1:4">
      <c r="A201" s="4"/>
      <c r="B201" s="4"/>
      <c r="C201" s="4"/>
      <c r="D201" s="5">
        <v>619</v>
      </c>
    </row>
    <row r="202" spans="1:4">
      <c r="A202" s="5">
        <v>1980</v>
      </c>
      <c r="B202" s="5">
        <v>7</v>
      </c>
      <c r="C202" s="5">
        <v>1330</v>
      </c>
      <c r="D202" s="5">
        <v>1330</v>
      </c>
    </row>
    <row r="203" spans="1:4">
      <c r="A203" s="5"/>
      <c r="B203" s="5"/>
      <c r="C203" s="5"/>
      <c r="D203" s="5">
        <v>1330</v>
      </c>
    </row>
    <row r="204" spans="1:4">
      <c r="A204" s="5"/>
      <c r="B204" s="5"/>
      <c r="C204" s="5"/>
      <c r="D204" s="5">
        <v>1330</v>
      </c>
    </row>
    <row r="205" spans="1:4">
      <c r="A205" s="5"/>
      <c r="B205" s="5">
        <v>8</v>
      </c>
      <c r="C205" s="5">
        <v>937</v>
      </c>
      <c r="D205" s="5">
        <v>937</v>
      </c>
    </row>
    <row r="206" spans="1:4">
      <c r="A206" s="5"/>
      <c r="B206" s="5"/>
      <c r="C206" s="5"/>
      <c r="D206" s="5">
        <v>937</v>
      </c>
    </row>
    <row r="207" spans="1:4">
      <c r="A207" s="5"/>
      <c r="B207" s="5"/>
      <c r="C207" s="5"/>
      <c r="D207" s="5">
        <v>937</v>
      </c>
    </row>
    <row r="208" spans="1:4">
      <c r="A208" s="5"/>
      <c r="B208" s="5">
        <v>9</v>
      </c>
      <c r="C208" s="5">
        <v>1400</v>
      </c>
      <c r="D208" s="5">
        <v>1400</v>
      </c>
    </row>
    <row r="209" spans="1:4">
      <c r="A209" s="5"/>
      <c r="B209" s="5">
        <v>10</v>
      </c>
      <c r="C209" s="5">
        <v>1060</v>
      </c>
      <c r="D209" s="5">
        <v>1060</v>
      </c>
    </row>
    <row r="210" spans="1:4">
      <c r="A210" s="5"/>
      <c r="B210" s="5">
        <v>11</v>
      </c>
      <c r="C210" s="5">
        <v>464</v>
      </c>
      <c r="D210" s="5">
        <v>464</v>
      </c>
    </row>
    <row r="211" spans="1:4">
      <c r="A211" s="5"/>
      <c r="B211" s="5">
        <v>12</v>
      </c>
      <c r="C211" s="5">
        <v>202</v>
      </c>
      <c r="D211" s="5">
        <v>202</v>
      </c>
    </row>
    <row r="212" spans="1:4">
      <c r="A212" s="5"/>
      <c r="B212" s="5">
        <v>1</v>
      </c>
      <c r="C212" s="5">
        <v>155</v>
      </c>
      <c r="D212" s="5">
        <v>155</v>
      </c>
    </row>
    <row r="213" spans="1:4">
      <c r="A213" s="5"/>
      <c r="B213" s="5">
        <v>2</v>
      </c>
      <c r="C213" s="5">
        <v>156</v>
      </c>
      <c r="D213" s="5">
        <v>156</v>
      </c>
    </row>
    <row r="214" spans="1:4">
      <c r="A214" s="5"/>
      <c r="B214" s="5">
        <v>3</v>
      </c>
      <c r="C214" s="5">
        <v>197</v>
      </c>
      <c r="D214" s="5">
        <v>197</v>
      </c>
    </row>
    <row r="215" spans="1:4">
      <c r="A215" s="5"/>
      <c r="B215" s="5">
        <v>4</v>
      </c>
      <c r="C215" s="5">
        <v>332</v>
      </c>
      <c r="D215" s="5">
        <v>332</v>
      </c>
    </row>
    <row r="216" spans="1:4">
      <c r="A216" s="5"/>
      <c r="B216" s="5">
        <v>5</v>
      </c>
      <c r="C216" s="5">
        <v>549</v>
      </c>
      <c r="D216" s="5">
        <v>549</v>
      </c>
    </row>
    <row r="217" spans="1:4">
      <c r="A217" s="5"/>
      <c r="B217" s="5"/>
      <c r="C217" s="5"/>
      <c r="D217" s="5">
        <v>549</v>
      </c>
    </row>
    <row r="218" spans="1:4">
      <c r="A218" s="5"/>
      <c r="B218" s="5"/>
      <c r="C218" s="5"/>
      <c r="D218" s="5">
        <v>549</v>
      </c>
    </row>
    <row r="219" spans="1:4">
      <c r="A219" s="5"/>
      <c r="B219" s="5">
        <v>6</v>
      </c>
      <c r="C219" s="5">
        <v>1040</v>
      </c>
      <c r="D219" s="5">
        <v>1040</v>
      </c>
    </row>
    <row r="220" spans="1:4">
      <c r="A220" s="5"/>
      <c r="B220" s="5"/>
      <c r="C220" s="5"/>
      <c r="D220" s="5">
        <v>1040</v>
      </c>
    </row>
    <row r="221" spans="1:4">
      <c r="A221" s="5"/>
      <c r="B221" s="5"/>
      <c r="C221" s="5"/>
      <c r="D221" s="5">
        <v>1040</v>
      </c>
    </row>
    <row r="222" spans="1:4">
      <c r="A222" s="5">
        <v>1981</v>
      </c>
      <c r="B222" s="5">
        <v>7</v>
      </c>
      <c r="C222" s="5">
        <v>1600</v>
      </c>
      <c r="D222" s="5">
        <v>1600</v>
      </c>
    </row>
    <row r="223" spans="1:4">
      <c r="A223" s="5"/>
      <c r="B223" s="5"/>
      <c r="C223" s="5"/>
      <c r="D223" s="5">
        <v>1600</v>
      </c>
    </row>
    <row r="224" spans="1:4">
      <c r="A224" s="5"/>
      <c r="B224" s="5"/>
      <c r="C224" s="5"/>
      <c r="D224" s="5">
        <v>1600</v>
      </c>
    </row>
    <row r="225" spans="1:4">
      <c r="A225" s="5"/>
      <c r="B225" s="5">
        <v>8</v>
      </c>
      <c r="C225" s="5">
        <v>989</v>
      </c>
      <c r="D225" s="5">
        <v>989</v>
      </c>
    </row>
    <row r="226" spans="1:4">
      <c r="A226" s="5"/>
      <c r="B226" s="5"/>
      <c r="C226" s="5"/>
      <c r="D226" s="5">
        <v>989</v>
      </c>
    </row>
    <row r="227" spans="1:4">
      <c r="A227" s="5"/>
      <c r="B227" s="5"/>
      <c r="C227" s="5"/>
      <c r="D227" s="5">
        <v>989</v>
      </c>
    </row>
    <row r="228" spans="1:4" ht="14.75" customHeight="1">
      <c r="A228" s="5"/>
      <c r="B228" s="5">
        <v>9</v>
      </c>
      <c r="C228" s="5">
        <v>3550</v>
      </c>
      <c r="D228" s="5">
        <v>3550</v>
      </c>
    </row>
    <row r="229" spans="1:4">
      <c r="A229" s="5"/>
      <c r="B229" s="5">
        <v>10</v>
      </c>
      <c r="C229" s="5">
        <v>1700</v>
      </c>
      <c r="D229" s="5">
        <v>1700</v>
      </c>
    </row>
    <row r="230" spans="1:4">
      <c r="A230" s="5"/>
      <c r="B230" s="5">
        <v>11</v>
      </c>
      <c r="C230" s="5">
        <v>687</v>
      </c>
      <c r="D230" s="5">
        <v>687</v>
      </c>
    </row>
    <row r="231" spans="1:4">
      <c r="A231" s="5"/>
      <c r="B231" s="5">
        <v>12</v>
      </c>
      <c r="C231" s="5">
        <v>312</v>
      </c>
      <c r="D231" s="5">
        <v>312</v>
      </c>
    </row>
    <row r="232" spans="1:4">
      <c r="A232" s="5"/>
      <c r="B232" s="5">
        <v>1</v>
      </c>
      <c r="C232" s="5">
        <v>233</v>
      </c>
      <c r="D232" s="5">
        <v>233</v>
      </c>
    </row>
    <row r="233" spans="1:4">
      <c r="A233" s="5"/>
      <c r="B233" s="5">
        <v>2</v>
      </c>
      <c r="C233" s="5">
        <v>227</v>
      </c>
      <c r="D233" s="5">
        <v>227</v>
      </c>
    </row>
    <row r="234" spans="1:4">
      <c r="A234" s="5"/>
      <c r="B234" s="5">
        <v>3</v>
      </c>
      <c r="C234" s="5">
        <v>263</v>
      </c>
      <c r="D234" s="5">
        <v>263</v>
      </c>
    </row>
    <row r="235" spans="1:4">
      <c r="A235" s="5"/>
      <c r="B235" s="5">
        <v>4</v>
      </c>
      <c r="C235" s="5">
        <v>381</v>
      </c>
      <c r="D235" s="5">
        <v>381</v>
      </c>
    </row>
    <row r="236" spans="1:4">
      <c r="A236" s="5"/>
      <c r="B236" s="5">
        <v>5</v>
      </c>
      <c r="C236" s="5">
        <v>900</v>
      </c>
      <c r="D236" s="5">
        <v>900</v>
      </c>
    </row>
    <row r="237" spans="1:4">
      <c r="A237" s="5"/>
      <c r="B237" s="5"/>
      <c r="C237" s="5"/>
      <c r="D237" s="5">
        <v>900</v>
      </c>
    </row>
    <row r="238" spans="1:4">
      <c r="A238" s="5"/>
      <c r="B238" s="5"/>
      <c r="C238" s="5"/>
      <c r="D238" s="5">
        <v>900</v>
      </c>
    </row>
    <row r="239" spans="1:4">
      <c r="A239" s="5"/>
      <c r="B239" s="5">
        <v>6</v>
      </c>
      <c r="C239" s="5">
        <v>1560</v>
      </c>
      <c r="D239" s="5">
        <v>1560</v>
      </c>
    </row>
    <row r="240" spans="1:4">
      <c r="A240" s="5"/>
      <c r="B240" s="5"/>
      <c r="C240" s="5"/>
      <c r="D240" s="5">
        <v>1560</v>
      </c>
    </row>
    <row r="241" spans="1:4">
      <c r="A241" s="5"/>
      <c r="B241" s="5"/>
      <c r="C241" s="5"/>
      <c r="D241" s="5">
        <v>1560</v>
      </c>
    </row>
    <row r="242" spans="1:4">
      <c r="A242" s="5">
        <v>1982</v>
      </c>
      <c r="B242" s="5">
        <v>7</v>
      </c>
      <c r="C242" s="5">
        <v>1790</v>
      </c>
      <c r="D242" s="5">
        <v>1790</v>
      </c>
    </row>
    <row r="243" spans="1:4">
      <c r="A243" s="5"/>
      <c r="B243" s="5"/>
      <c r="C243" s="5"/>
      <c r="D243" s="5">
        <v>1790</v>
      </c>
    </row>
    <row r="244" spans="1:4">
      <c r="A244" s="5"/>
      <c r="B244" s="5"/>
      <c r="C244" s="5"/>
      <c r="D244" s="5">
        <v>1790</v>
      </c>
    </row>
    <row r="245" spans="1:4">
      <c r="A245" s="5"/>
      <c r="B245" s="5">
        <v>8</v>
      </c>
      <c r="C245" s="5">
        <v>1050</v>
      </c>
      <c r="D245" s="5">
        <v>1050</v>
      </c>
    </row>
    <row r="246" spans="1:4">
      <c r="A246" s="5"/>
      <c r="B246" s="5"/>
      <c r="C246" s="5"/>
      <c r="D246" s="5">
        <v>1050</v>
      </c>
    </row>
    <row r="247" spans="1:4">
      <c r="A247" s="5"/>
      <c r="B247" s="5"/>
      <c r="C247" s="5"/>
      <c r="D247" s="5">
        <v>1050</v>
      </c>
    </row>
    <row r="248" spans="1:4">
      <c r="A248" s="5"/>
      <c r="B248" s="5">
        <v>9</v>
      </c>
      <c r="C248" s="5">
        <v>1700</v>
      </c>
      <c r="D248" s="5">
        <v>1700</v>
      </c>
    </row>
    <row r="249" spans="1:4">
      <c r="A249" s="5"/>
      <c r="B249" s="5">
        <v>10</v>
      </c>
      <c r="C249" s="5">
        <v>1630</v>
      </c>
      <c r="D249" s="5">
        <v>1630</v>
      </c>
    </row>
    <row r="250" spans="1:4">
      <c r="A250" s="5"/>
      <c r="B250" s="5">
        <v>11</v>
      </c>
      <c r="C250" s="5">
        <v>653</v>
      </c>
      <c r="D250" s="5">
        <v>653</v>
      </c>
    </row>
    <row r="251" spans="1:4">
      <c r="A251" s="5"/>
      <c r="B251" s="5">
        <v>12</v>
      </c>
      <c r="C251" s="5">
        <v>285</v>
      </c>
      <c r="D251" s="5">
        <v>285</v>
      </c>
    </row>
    <row r="252" spans="1:4">
      <c r="A252" s="5"/>
      <c r="B252" s="5">
        <v>1</v>
      </c>
      <c r="C252" s="5">
        <v>211</v>
      </c>
      <c r="D252" s="5">
        <v>211</v>
      </c>
    </row>
    <row r="253" spans="1:4">
      <c r="A253" s="5"/>
      <c r="B253" s="5">
        <v>2</v>
      </c>
      <c r="C253" s="5">
        <v>201</v>
      </c>
      <c r="D253" s="5">
        <v>201</v>
      </c>
    </row>
    <row r="254" spans="1:4">
      <c r="A254" s="5"/>
      <c r="B254" s="5">
        <v>3</v>
      </c>
      <c r="C254" s="5">
        <v>239</v>
      </c>
      <c r="D254" s="5">
        <v>239</v>
      </c>
    </row>
    <row r="255" spans="1:4">
      <c r="A255" s="5"/>
      <c r="B255" s="5">
        <v>4</v>
      </c>
      <c r="C255" s="5">
        <v>464</v>
      </c>
      <c r="D255" s="5">
        <v>464</v>
      </c>
    </row>
    <row r="256" spans="1:4">
      <c r="A256" s="5"/>
      <c r="B256" s="5">
        <v>5</v>
      </c>
      <c r="C256" s="5">
        <v>886</v>
      </c>
      <c r="D256" s="5">
        <v>886</v>
      </c>
    </row>
    <row r="257" spans="1:4">
      <c r="A257" s="5"/>
      <c r="B257" s="5"/>
      <c r="C257" s="5"/>
      <c r="D257" s="5">
        <v>886</v>
      </c>
    </row>
    <row r="258" spans="1:4">
      <c r="A258" s="5"/>
      <c r="B258" s="5"/>
      <c r="C258" s="5"/>
      <c r="D258" s="5">
        <v>886</v>
      </c>
    </row>
    <row r="259" spans="1:4">
      <c r="A259" s="5"/>
      <c r="B259" s="5">
        <v>6</v>
      </c>
      <c r="C259" s="5">
        <v>1210</v>
      </c>
      <c r="D259" s="5">
        <v>1210</v>
      </c>
    </row>
    <row r="260" spans="1:4">
      <c r="A260" s="5"/>
      <c r="B260" s="5"/>
      <c r="C260" s="5"/>
      <c r="D260" s="5">
        <v>1210</v>
      </c>
    </row>
    <row r="261" spans="1:4">
      <c r="A261" s="5"/>
      <c r="B261" s="5"/>
      <c r="C261" s="5"/>
      <c r="D261" s="5">
        <v>1210</v>
      </c>
    </row>
    <row r="262" spans="1:4">
      <c r="A262" s="5">
        <v>1983</v>
      </c>
      <c r="B262" s="5">
        <v>7</v>
      </c>
      <c r="C262" s="5">
        <v>2650</v>
      </c>
      <c r="D262" s="5">
        <v>2650</v>
      </c>
    </row>
    <row r="263" spans="1:4">
      <c r="A263" s="5"/>
      <c r="B263" s="5"/>
      <c r="C263" s="5"/>
      <c r="D263" s="5">
        <v>2650</v>
      </c>
    </row>
    <row r="264" spans="1:4">
      <c r="A264" s="5"/>
      <c r="B264" s="5"/>
      <c r="C264" s="5"/>
      <c r="D264" s="5">
        <v>2650</v>
      </c>
    </row>
    <row r="265" spans="1:4">
      <c r="A265" s="5"/>
      <c r="B265" s="5">
        <v>8</v>
      </c>
      <c r="C265" s="5">
        <v>1730</v>
      </c>
      <c r="D265" s="5">
        <v>1730</v>
      </c>
    </row>
    <row r="266" spans="1:4">
      <c r="A266" s="5"/>
      <c r="B266" s="5"/>
      <c r="C266" s="5"/>
      <c r="D266" s="5">
        <v>1730</v>
      </c>
    </row>
    <row r="267" spans="1:4">
      <c r="A267" s="5"/>
      <c r="B267" s="5"/>
      <c r="C267" s="5"/>
      <c r="D267" s="5">
        <v>1730</v>
      </c>
    </row>
    <row r="268" spans="1:4">
      <c r="A268" s="5"/>
      <c r="B268" s="5">
        <v>9</v>
      </c>
      <c r="C268" s="5">
        <v>1150</v>
      </c>
      <c r="D268" s="5">
        <v>1150</v>
      </c>
    </row>
    <row r="269" spans="1:4">
      <c r="A269" s="5"/>
      <c r="B269" s="5">
        <v>10</v>
      </c>
      <c r="C269" s="5">
        <v>1960</v>
      </c>
      <c r="D269" s="5">
        <v>1960</v>
      </c>
    </row>
    <row r="270" spans="1:4">
      <c r="A270" s="5"/>
      <c r="B270" s="5">
        <v>11</v>
      </c>
      <c r="C270" s="5">
        <v>843</v>
      </c>
      <c r="D270" s="5">
        <v>843</v>
      </c>
    </row>
    <row r="271" spans="1:4">
      <c r="A271" s="5"/>
      <c r="B271" s="5">
        <v>12</v>
      </c>
      <c r="C271" s="5">
        <v>340</v>
      </c>
      <c r="D271" s="5">
        <v>340</v>
      </c>
    </row>
    <row r="272" spans="1:4">
      <c r="A272" s="5"/>
      <c r="B272" s="5">
        <v>1</v>
      </c>
      <c r="C272" s="5">
        <v>234</v>
      </c>
      <c r="D272" s="5">
        <v>234</v>
      </c>
    </row>
    <row r="273" spans="1:4">
      <c r="A273" s="5"/>
      <c r="B273" s="5">
        <v>2</v>
      </c>
      <c r="C273" s="5">
        <v>251</v>
      </c>
      <c r="D273" s="5">
        <v>251</v>
      </c>
    </row>
    <row r="274" spans="1:4">
      <c r="A274" s="5"/>
      <c r="B274" s="5">
        <v>3</v>
      </c>
      <c r="C274" s="5">
        <v>293</v>
      </c>
      <c r="D274" s="5">
        <v>293</v>
      </c>
    </row>
    <row r="275" spans="1:4">
      <c r="A275" s="5"/>
      <c r="B275" s="5">
        <v>4</v>
      </c>
      <c r="C275" s="5">
        <v>412</v>
      </c>
      <c r="D275" s="5">
        <v>412</v>
      </c>
    </row>
    <row r="276" spans="1:4">
      <c r="A276" s="5"/>
      <c r="B276" s="5">
        <v>5</v>
      </c>
      <c r="C276" s="5">
        <v>479</v>
      </c>
      <c r="D276" s="5">
        <v>479</v>
      </c>
    </row>
    <row r="277" spans="1:4">
      <c r="A277" s="5"/>
      <c r="B277" s="5"/>
      <c r="C277" s="5"/>
      <c r="D277" s="5">
        <v>479</v>
      </c>
    </row>
    <row r="278" spans="1:4">
      <c r="A278" s="5"/>
      <c r="B278" s="5"/>
      <c r="C278" s="5"/>
      <c r="D278" s="5">
        <v>479</v>
      </c>
    </row>
    <row r="279" spans="1:4">
      <c r="A279" s="5"/>
      <c r="B279" s="5">
        <v>6</v>
      </c>
      <c r="C279" s="5">
        <v>1110</v>
      </c>
      <c r="D279" s="5">
        <v>1110</v>
      </c>
    </row>
    <row r="280" spans="1:4">
      <c r="A280" s="5"/>
      <c r="B280" s="5"/>
      <c r="C280" s="5"/>
      <c r="D280" s="5">
        <v>1110</v>
      </c>
    </row>
    <row r="281" spans="1:4">
      <c r="A281" s="5"/>
      <c r="B281" s="5"/>
      <c r="C281" s="5"/>
      <c r="D281" s="5">
        <v>1110</v>
      </c>
    </row>
    <row r="282" spans="1:4">
      <c r="A282" s="5">
        <v>1984</v>
      </c>
      <c r="B282" s="5">
        <v>7</v>
      </c>
      <c r="C282" s="5">
        <v>2430</v>
      </c>
      <c r="D282" s="5">
        <v>2430</v>
      </c>
    </row>
    <row r="283" spans="1:4">
      <c r="A283" s="5"/>
      <c r="B283" s="5"/>
      <c r="C283" s="5"/>
      <c r="D283" s="5">
        <v>2430</v>
      </c>
    </row>
    <row r="284" spans="1:4">
      <c r="A284" s="5"/>
      <c r="B284" s="5"/>
      <c r="C284" s="5"/>
      <c r="D284" s="5">
        <v>2430</v>
      </c>
    </row>
    <row r="285" spans="1:4" ht="16" customHeight="1">
      <c r="A285" s="5"/>
      <c r="B285" s="5">
        <v>8</v>
      </c>
      <c r="C285" s="5">
        <v>1400</v>
      </c>
      <c r="D285" s="5">
        <v>1400</v>
      </c>
    </row>
    <row r="286" spans="1:4" ht="16" customHeight="1">
      <c r="A286" s="5"/>
      <c r="B286" s="5"/>
      <c r="C286" s="5"/>
      <c r="D286" s="5">
        <v>1400</v>
      </c>
    </row>
    <row r="287" spans="1:4" ht="16" customHeight="1">
      <c r="A287" s="5"/>
      <c r="B287" s="5"/>
      <c r="C287" s="5"/>
      <c r="D287" s="5">
        <v>1400</v>
      </c>
    </row>
    <row r="288" spans="1:4">
      <c r="A288" s="5"/>
      <c r="B288" s="5">
        <v>9</v>
      </c>
      <c r="C288" s="5">
        <v>861</v>
      </c>
      <c r="D288" s="5">
        <v>861</v>
      </c>
    </row>
    <row r="289" spans="1:4">
      <c r="A289" s="5"/>
      <c r="B289" s="5">
        <v>10</v>
      </c>
      <c r="C289" s="5">
        <v>855</v>
      </c>
      <c r="D289" s="5">
        <v>855</v>
      </c>
    </row>
    <row r="290" spans="1:4">
      <c r="A290" s="5"/>
      <c r="B290" s="5">
        <v>11</v>
      </c>
      <c r="C290" s="5">
        <v>478</v>
      </c>
      <c r="D290" s="5">
        <v>478</v>
      </c>
    </row>
    <row r="291" spans="1:4">
      <c r="A291" s="5"/>
      <c r="B291" s="5">
        <v>12</v>
      </c>
      <c r="C291" s="5">
        <v>258</v>
      </c>
      <c r="D291" s="5">
        <v>258</v>
      </c>
    </row>
    <row r="292" spans="1:4">
      <c r="A292" s="5"/>
      <c r="B292" s="5">
        <v>1</v>
      </c>
      <c r="C292" s="5">
        <v>182</v>
      </c>
      <c r="D292" s="5">
        <v>182</v>
      </c>
    </row>
    <row r="293" spans="1:4">
      <c r="A293" s="5"/>
      <c r="B293" s="5">
        <v>2</v>
      </c>
      <c r="C293" s="5">
        <v>167</v>
      </c>
      <c r="D293" s="5">
        <v>167</v>
      </c>
    </row>
    <row r="294" spans="1:4">
      <c r="A294" s="5"/>
      <c r="B294" s="5">
        <v>3</v>
      </c>
      <c r="C294" s="5">
        <v>223</v>
      </c>
      <c r="D294" s="5">
        <v>223</v>
      </c>
    </row>
    <row r="295" spans="1:4">
      <c r="A295" s="5"/>
      <c r="B295" s="5">
        <v>4</v>
      </c>
      <c r="C295" s="5">
        <v>345</v>
      </c>
      <c r="D295" s="5">
        <v>345</v>
      </c>
    </row>
    <row r="296" spans="1:4">
      <c r="A296" s="5"/>
      <c r="B296" s="5">
        <v>5</v>
      </c>
      <c r="C296" s="5">
        <v>430</v>
      </c>
      <c r="D296" s="5">
        <v>430</v>
      </c>
    </row>
    <row r="297" spans="1:4">
      <c r="A297" s="5"/>
      <c r="B297" s="5"/>
      <c r="C297" s="5"/>
      <c r="D297" s="5">
        <v>430</v>
      </c>
    </row>
    <row r="298" spans="1:4">
      <c r="A298" s="5"/>
      <c r="B298" s="5"/>
      <c r="C298" s="5"/>
      <c r="D298" s="5">
        <v>430</v>
      </c>
    </row>
    <row r="299" spans="1:4">
      <c r="A299" s="5"/>
      <c r="B299" s="5">
        <v>6</v>
      </c>
      <c r="C299" s="5">
        <v>639</v>
      </c>
      <c r="D299" s="5">
        <v>639</v>
      </c>
    </row>
    <row r="300" spans="1:4">
      <c r="A300" s="5"/>
      <c r="B300" s="5"/>
      <c r="C300" s="5"/>
      <c r="D300" s="5">
        <v>639</v>
      </c>
    </row>
    <row r="301" spans="1:4">
      <c r="A301" s="5"/>
      <c r="B301" s="5"/>
      <c r="C301" s="5"/>
      <c r="D301" s="5">
        <v>639</v>
      </c>
    </row>
    <row r="302" spans="1:4">
      <c r="A302" s="5">
        <v>1985</v>
      </c>
      <c r="B302" s="5">
        <v>7</v>
      </c>
      <c r="C302" s="5">
        <v>1200</v>
      </c>
      <c r="D302" s="5">
        <v>1200</v>
      </c>
    </row>
    <row r="303" spans="1:4">
      <c r="A303" s="5"/>
      <c r="B303" s="5"/>
      <c r="C303" s="5"/>
      <c r="D303" s="5">
        <v>1200</v>
      </c>
    </row>
    <row r="304" spans="1:4">
      <c r="A304" s="5"/>
      <c r="B304" s="5"/>
      <c r="C304" s="5"/>
      <c r="D304" s="5">
        <v>1200</v>
      </c>
    </row>
    <row r="305" spans="1:4">
      <c r="A305" s="5"/>
      <c r="B305" s="5">
        <v>8</v>
      </c>
      <c r="C305" s="5">
        <v>1010</v>
      </c>
      <c r="D305" s="5">
        <v>1010</v>
      </c>
    </row>
    <row r="306" spans="1:4">
      <c r="A306" s="5"/>
      <c r="B306" s="5"/>
      <c r="C306" s="5"/>
      <c r="D306" s="5">
        <v>1010</v>
      </c>
    </row>
    <row r="307" spans="1:4">
      <c r="A307" s="5"/>
      <c r="B307" s="5"/>
      <c r="C307" s="5"/>
      <c r="D307" s="5">
        <v>1010</v>
      </c>
    </row>
    <row r="308" spans="1:4">
      <c r="A308" s="5"/>
      <c r="B308" s="5">
        <v>9</v>
      </c>
      <c r="C308" s="5">
        <v>2350</v>
      </c>
      <c r="D308" s="5">
        <v>2350</v>
      </c>
    </row>
    <row r="309" spans="1:4">
      <c r="A309" s="5"/>
      <c r="B309" s="5">
        <v>10</v>
      </c>
      <c r="C309" s="5">
        <v>1140</v>
      </c>
      <c r="D309" s="5">
        <v>1140</v>
      </c>
    </row>
    <row r="310" spans="1:4">
      <c r="A310" s="5"/>
      <c r="B310" s="5">
        <v>11</v>
      </c>
      <c r="C310" s="5">
        <v>451</v>
      </c>
      <c r="D310" s="5">
        <v>451</v>
      </c>
    </row>
    <row r="311" spans="1:4">
      <c r="A311" s="5"/>
      <c r="B311" s="5">
        <v>12</v>
      </c>
      <c r="C311" s="5">
        <v>245</v>
      </c>
      <c r="D311" s="5">
        <v>245</v>
      </c>
    </row>
    <row r="312" spans="1:4">
      <c r="A312" s="5"/>
      <c r="B312" s="5">
        <v>1</v>
      </c>
      <c r="C312" s="5">
        <v>181</v>
      </c>
      <c r="D312" s="5">
        <v>181</v>
      </c>
    </row>
    <row r="313" spans="1:4">
      <c r="A313" s="5"/>
      <c r="B313" s="5">
        <v>2</v>
      </c>
      <c r="C313" s="5">
        <v>179</v>
      </c>
      <c r="D313" s="5">
        <v>179</v>
      </c>
    </row>
    <row r="314" spans="1:4">
      <c r="A314" s="5"/>
      <c r="B314" s="5">
        <v>3</v>
      </c>
      <c r="C314" s="5">
        <v>229</v>
      </c>
      <c r="D314" s="5">
        <v>229</v>
      </c>
    </row>
    <row r="315" spans="1:4">
      <c r="A315" s="5"/>
      <c r="B315" s="5">
        <v>4</v>
      </c>
      <c r="C315" s="5">
        <v>359</v>
      </c>
      <c r="D315" s="5">
        <v>359</v>
      </c>
    </row>
    <row r="316" spans="1:4">
      <c r="A316" s="5"/>
      <c r="B316" s="5">
        <v>5</v>
      </c>
      <c r="C316" s="5">
        <v>849</v>
      </c>
      <c r="D316" s="5">
        <v>849</v>
      </c>
    </row>
    <row r="317" spans="1:4">
      <c r="A317" s="5"/>
      <c r="B317" s="5"/>
      <c r="C317" s="5"/>
      <c r="D317" s="5">
        <v>849</v>
      </c>
    </row>
    <row r="318" spans="1:4">
      <c r="A318" s="5"/>
      <c r="B318" s="5"/>
      <c r="C318" s="5"/>
      <c r="D318" s="5">
        <v>849</v>
      </c>
    </row>
    <row r="319" spans="1:4">
      <c r="A319" s="5"/>
      <c r="B319" s="5">
        <v>6</v>
      </c>
      <c r="C319" s="5">
        <v>1120</v>
      </c>
      <c r="D319" s="5">
        <v>1120</v>
      </c>
    </row>
    <row r="320" spans="1:4">
      <c r="A320" s="5"/>
      <c r="B320" s="5"/>
      <c r="C320" s="5"/>
      <c r="D320" s="5">
        <v>1120</v>
      </c>
    </row>
    <row r="321" spans="1:4">
      <c r="A321" s="5"/>
      <c r="B321" s="5"/>
      <c r="C321" s="5"/>
      <c r="D321" s="5">
        <v>1120</v>
      </c>
    </row>
    <row r="322" spans="1:4">
      <c r="A322" s="5">
        <v>1986</v>
      </c>
      <c r="B322" s="5">
        <v>7</v>
      </c>
      <c r="C322" s="5">
        <v>1720</v>
      </c>
      <c r="D322" s="5">
        <v>1720</v>
      </c>
    </row>
    <row r="323" spans="1:4">
      <c r="A323" s="5"/>
      <c r="B323" s="5"/>
      <c r="C323" s="5"/>
      <c r="D323" s="5">
        <v>1720</v>
      </c>
    </row>
    <row r="324" spans="1:4">
      <c r="A324" s="5"/>
      <c r="B324" s="5"/>
      <c r="C324" s="5"/>
      <c r="D324" s="5">
        <v>1720</v>
      </c>
    </row>
    <row r="325" spans="1:4">
      <c r="A325" s="5"/>
      <c r="B325" s="5">
        <v>8</v>
      </c>
      <c r="C325" s="5">
        <v>699</v>
      </c>
      <c r="D325" s="5">
        <v>699</v>
      </c>
    </row>
    <row r="326" spans="1:4">
      <c r="A326" s="5"/>
      <c r="B326" s="5"/>
      <c r="C326" s="5"/>
      <c r="D326" s="5">
        <v>699</v>
      </c>
    </row>
    <row r="327" spans="1:4">
      <c r="A327" s="5"/>
      <c r="B327" s="5"/>
      <c r="C327" s="5"/>
      <c r="D327" s="5">
        <v>699</v>
      </c>
    </row>
    <row r="328" spans="1:4">
      <c r="A328" s="5"/>
      <c r="B328" s="5">
        <v>9</v>
      </c>
      <c r="C328" s="5">
        <v>1080</v>
      </c>
      <c r="D328" s="5">
        <v>1080</v>
      </c>
    </row>
    <row r="329" spans="1:4">
      <c r="A329" s="5"/>
      <c r="B329" s="5">
        <v>10</v>
      </c>
      <c r="C329" s="5">
        <v>574</v>
      </c>
      <c r="D329" s="5">
        <v>574</v>
      </c>
    </row>
    <row r="330" spans="1:4">
      <c r="A330" s="5"/>
      <c r="B330" s="5">
        <v>11</v>
      </c>
      <c r="C330" s="5">
        <v>332</v>
      </c>
      <c r="D330" s="5">
        <v>332</v>
      </c>
    </row>
    <row r="331" spans="1:4">
      <c r="A331" s="5"/>
      <c r="B331" s="5">
        <v>12</v>
      </c>
      <c r="C331" s="5">
        <v>203</v>
      </c>
      <c r="D331" s="5">
        <v>203</v>
      </c>
    </row>
    <row r="332" spans="1:4">
      <c r="A332" s="5"/>
      <c r="B332" s="5">
        <v>1</v>
      </c>
      <c r="C332" s="5">
        <v>120</v>
      </c>
      <c r="D332" s="5">
        <v>120</v>
      </c>
    </row>
    <row r="333" spans="1:4">
      <c r="A333" s="5"/>
      <c r="B333" s="5">
        <v>2</v>
      </c>
      <c r="C333" s="5">
        <v>170</v>
      </c>
      <c r="D333" s="5">
        <v>170</v>
      </c>
    </row>
    <row r="334" spans="1:4">
      <c r="A334" s="5"/>
      <c r="B334" s="5">
        <v>3</v>
      </c>
      <c r="C334" s="5">
        <v>169</v>
      </c>
      <c r="D334" s="5">
        <v>169</v>
      </c>
    </row>
    <row r="335" spans="1:4">
      <c r="A335" s="5"/>
      <c r="B335" s="5">
        <v>4</v>
      </c>
      <c r="C335" s="5">
        <v>287</v>
      </c>
      <c r="D335" s="5">
        <v>287</v>
      </c>
    </row>
    <row r="336" spans="1:4">
      <c r="A336" s="5"/>
      <c r="B336" s="5">
        <v>5</v>
      </c>
      <c r="C336" s="5">
        <v>550</v>
      </c>
      <c r="D336" s="5">
        <v>550</v>
      </c>
    </row>
    <row r="337" spans="1:4">
      <c r="A337" s="5"/>
      <c r="B337" s="5"/>
      <c r="C337" s="5"/>
      <c r="D337" s="5">
        <v>550</v>
      </c>
    </row>
    <row r="338" spans="1:4">
      <c r="A338" s="5"/>
      <c r="B338" s="5"/>
      <c r="C338" s="5"/>
      <c r="D338" s="5">
        <v>550</v>
      </c>
    </row>
    <row r="339" spans="1:4">
      <c r="A339" s="5"/>
      <c r="B339" s="5">
        <v>6</v>
      </c>
      <c r="C339" s="5">
        <v>1127</v>
      </c>
      <c r="D339" s="5">
        <v>1127</v>
      </c>
    </row>
    <row r="340" spans="1:4">
      <c r="A340" s="5"/>
      <c r="B340" s="5"/>
      <c r="C340" s="5"/>
      <c r="D340" s="5">
        <v>1127</v>
      </c>
    </row>
    <row r="341" spans="1:4">
      <c r="A341" s="5"/>
      <c r="B341" s="5"/>
      <c r="C341" s="5"/>
      <c r="D341" s="5">
        <v>1127</v>
      </c>
    </row>
    <row r="342" spans="1:4">
      <c r="A342" s="5">
        <v>1987</v>
      </c>
      <c r="B342" s="5">
        <v>7</v>
      </c>
      <c r="C342" s="5">
        <v>1607</v>
      </c>
      <c r="D342" s="5">
        <v>1607</v>
      </c>
    </row>
    <row r="343" spans="1:4">
      <c r="A343" s="5"/>
      <c r="B343" s="5"/>
      <c r="C343" s="5"/>
      <c r="D343" s="5">
        <v>1607</v>
      </c>
    </row>
    <row r="344" spans="1:4">
      <c r="A344" s="5"/>
      <c r="B344" s="5"/>
      <c r="C344" s="5"/>
      <c r="D344" s="5">
        <v>1607</v>
      </c>
    </row>
    <row r="345" spans="1:4">
      <c r="A345" s="5"/>
      <c r="B345" s="5">
        <v>8</v>
      </c>
      <c r="C345" s="5">
        <v>638</v>
      </c>
      <c r="D345" s="5">
        <v>638</v>
      </c>
    </row>
    <row r="346" spans="1:4">
      <c r="A346" s="5"/>
      <c r="B346" s="5"/>
      <c r="C346" s="5"/>
      <c r="D346" s="5">
        <v>638</v>
      </c>
    </row>
    <row r="347" spans="1:4">
      <c r="A347" s="5"/>
      <c r="B347" s="5"/>
      <c r="C347" s="5"/>
      <c r="D347" s="5">
        <v>638</v>
      </c>
    </row>
    <row r="348" spans="1:4">
      <c r="A348" s="5"/>
      <c r="B348" s="5">
        <v>9</v>
      </c>
      <c r="C348" s="5">
        <v>1001</v>
      </c>
      <c r="D348" s="5">
        <v>1001</v>
      </c>
    </row>
    <row r="349" spans="1:4">
      <c r="A349" s="5"/>
      <c r="B349" s="5">
        <v>10</v>
      </c>
      <c r="C349" s="5">
        <v>532</v>
      </c>
      <c r="D349" s="5">
        <v>532</v>
      </c>
    </row>
    <row r="350" spans="1:4">
      <c r="A350" s="5"/>
      <c r="B350" s="5">
        <v>11</v>
      </c>
      <c r="C350" s="5">
        <v>320</v>
      </c>
      <c r="D350" s="5">
        <v>320</v>
      </c>
    </row>
    <row r="351" spans="1:4">
      <c r="A351" s="5"/>
      <c r="B351" s="5">
        <v>12</v>
      </c>
      <c r="C351" s="5">
        <v>175</v>
      </c>
      <c r="D351" s="5">
        <v>175</v>
      </c>
    </row>
    <row r="352" spans="1:4">
      <c r="A352" s="5"/>
      <c r="B352" s="5">
        <v>1</v>
      </c>
      <c r="C352" s="5">
        <v>148</v>
      </c>
      <c r="D352" s="5">
        <v>148</v>
      </c>
    </row>
    <row r="353" spans="1:4">
      <c r="A353" s="5"/>
      <c r="B353" s="5">
        <v>2</v>
      </c>
      <c r="C353" s="5">
        <v>161</v>
      </c>
      <c r="D353" s="5">
        <v>161</v>
      </c>
    </row>
    <row r="354" spans="1:4">
      <c r="A354" s="5"/>
      <c r="B354" s="5">
        <v>3</v>
      </c>
      <c r="C354" s="5">
        <v>231</v>
      </c>
      <c r="D354" s="5">
        <v>231</v>
      </c>
    </row>
    <row r="355" spans="1:4">
      <c r="A355" s="5"/>
      <c r="B355" s="5">
        <v>4</v>
      </c>
      <c r="C355" s="5">
        <v>329</v>
      </c>
      <c r="D355" s="5">
        <v>329</v>
      </c>
    </row>
    <row r="356" spans="1:4">
      <c r="A356" s="5"/>
      <c r="B356" s="5">
        <v>5</v>
      </c>
      <c r="C356" s="5">
        <v>391</v>
      </c>
      <c r="D356" s="5">
        <v>391</v>
      </c>
    </row>
    <row r="357" spans="1:4">
      <c r="A357" s="5"/>
      <c r="B357" s="5"/>
      <c r="C357" s="5"/>
      <c r="D357" s="5">
        <v>391</v>
      </c>
    </row>
    <row r="358" spans="1:4">
      <c r="A358" s="5"/>
      <c r="B358" s="5"/>
      <c r="C358" s="5"/>
      <c r="D358" s="5">
        <v>391</v>
      </c>
    </row>
    <row r="359" spans="1:4">
      <c r="A359" s="5"/>
      <c r="B359" s="5">
        <v>6</v>
      </c>
      <c r="C359" s="5">
        <v>772</v>
      </c>
      <c r="D359" s="5">
        <v>772</v>
      </c>
    </row>
    <row r="360" spans="1:4">
      <c r="A360" s="5"/>
      <c r="B360" s="5"/>
      <c r="C360" s="5"/>
      <c r="D360" s="5">
        <v>772</v>
      </c>
    </row>
    <row r="361" spans="1:4">
      <c r="A361" s="5"/>
      <c r="B361" s="5"/>
      <c r="C361" s="5"/>
      <c r="D361" s="5">
        <v>772</v>
      </c>
    </row>
    <row r="362" spans="1:4">
      <c r="A362" s="5">
        <v>1988</v>
      </c>
      <c r="B362" s="5">
        <v>7</v>
      </c>
      <c r="C362" s="5">
        <v>819</v>
      </c>
      <c r="D362" s="5">
        <v>819</v>
      </c>
    </row>
    <row r="363" spans="1:4">
      <c r="A363" s="5"/>
      <c r="B363" s="5"/>
      <c r="C363" s="5"/>
      <c r="D363" s="5">
        <v>819</v>
      </c>
    </row>
    <row r="364" spans="1:4">
      <c r="A364" s="5"/>
      <c r="B364" s="5"/>
      <c r="C364" s="5"/>
      <c r="D364" s="5">
        <v>819</v>
      </c>
    </row>
    <row r="365" spans="1:4">
      <c r="A365" s="5"/>
      <c r="B365" s="5">
        <v>8</v>
      </c>
      <c r="C365" s="5">
        <v>783</v>
      </c>
      <c r="D365" s="5">
        <v>783</v>
      </c>
    </row>
    <row r="366" spans="1:4">
      <c r="A366" s="5"/>
      <c r="B366" s="5"/>
      <c r="C366" s="5"/>
      <c r="D366" s="5">
        <v>783</v>
      </c>
    </row>
    <row r="367" spans="1:4">
      <c r="A367" s="5"/>
      <c r="B367" s="5"/>
      <c r="C367" s="5"/>
      <c r="D367" s="5">
        <v>783</v>
      </c>
    </row>
    <row r="368" spans="1:4">
      <c r="A368" s="5"/>
      <c r="B368" s="5">
        <v>9</v>
      </c>
      <c r="C368" s="5">
        <v>538</v>
      </c>
      <c r="D368" s="5">
        <v>538</v>
      </c>
    </row>
    <row r="369" spans="1:4">
      <c r="A369" s="5"/>
      <c r="B369" s="5">
        <v>10</v>
      </c>
      <c r="C369" s="5">
        <v>1180</v>
      </c>
      <c r="D369" s="5">
        <v>1180</v>
      </c>
    </row>
    <row r="370" spans="1:4">
      <c r="A370" s="5"/>
      <c r="B370" s="5">
        <v>11</v>
      </c>
      <c r="C370" s="5">
        <v>580</v>
      </c>
      <c r="D370" s="5">
        <v>580</v>
      </c>
    </row>
    <row r="371" spans="1:4">
      <c r="A371" s="5"/>
      <c r="B371" s="5">
        <v>12</v>
      </c>
      <c r="C371" s="5">
        <v>525</v>
      </c>
      <c r="D371" s="5">
        <v>525</v>
      </c>
    </row>
    <row r="372" spans="1:4">
      <c r="A372" s="5"/>
      <c r="B372" s="5">
        <v>1</v>
      </c>
      <c r="C372" s="5">
        <v>160</v>
      </c>
      <c r="D372" s="5">
        <v>160</v>
      </c>
    </row>
    <row r="373" spans="1:4">
      <c r="A373" s="5"/>
      <c r="B373" s="5">
        <v>2</v>
      </c>
      <c r="C373" s="5">
        <v>173</v>
      </c>
      <c r="D373" s="5">
        <v>173</v>
      </c>
    </row>
    <row r="374" spans="1:4">
      <c r="A374" s="5"/>
      <c r="B374" s="5">
        <v>3</v>
      </c>
      <c r="C374" s="5">
        <v>275</v>
      </c>
      <c r="D374" s="5">
        <v>275</v>
      </c>
    </row>
    <row r="375" spans="1:4">
      <c r="A375" s="5"/>
      <c r="B375" s="5">
        <v>4</v>
      </c>
      <c r="C375" s="5">
        <v>378</v>
      </c>
      <c r="D375" s="5">
        <v>378</v>
      </c>
    </row>
    <row r="376" spans="1:4">
      <c r="A376" s="5"/>
      <c r="B376" s="5">
        <v>5</v>
      </c>
      <c r="C376" s="5">
        <v>871</v>
      </c>
      <c r="D376" s="5">
        <v>871</v>
      </c>
    </row>
    <row r="377" spans="1:4">
      <c r="A377" s="5"/>
      <c r="B377" s="5"/>
      <c r="C377" s="5"/>
      <c r="D377" s="5">
        <v>871</v>
      </c>
    </row>
    <row r="378" spans="1:4">
      <c r="A378" s="5"/>
      <c r="B378" s="5"/>
      <c r="C378" s="5"/>
      <c r="D378" s="5">
        <v>871</v>
      </c>
    </row>
    <row r="379" spans="1:4">
      <c r="A379" s="5"/>
      <c r="B379" s="5">
        <v>6</v>
      </c>
      <c r="C379" s="5">
        <v>2200</v>
      </c>
      <c r="D379" s="5">
        <v>2200</v>
      </c>
    </row>
    <row r="380" spans="1:4">
      <c r="A380" s="5"/>
      <c r="B380" s="5"/>
      <c r="C380" s="5"/>
      <c r="D380" s="5">
        <v>2200</v>
      </c>
    </row>
    <row r="381" spans="1:4">
      <c r="A381" s="5"/>
      <c r="B381" s="5"/>
      <c r="C381" s="5"/>
      <c r="D381" s="5">
        <v>2200</v>
      </c>
    </row>
    <row r="382" spans="1:4">
      <c r="A382" s="5">
        <v>1989</v>
      </c>
      <c r="B382" s="5">
        <v>7</v>
      </c>
      <c r="C382" s="5">
        <v>2230</v>
      </c>
      <c r="D382" s="5">
        <v>2230</v>
      </c>
    </row>
    <row r="383" spans="1:4">
      <c r="A383" s="5"/>
      <c r="B383" s="5"/>
      <c r="C383" s="5"/>
      <c r="D383" s="5">
        <v>2230</v>
      </c>
    </row>
    <row r="384" spans="1:4">
      <c r="A384" s="5"/>
      <c r="B384" s="5"/>
      <c r="C384" s="5"/>
      <c r="D384" s="5">
        <v>2230</v>
      </c>
    </row>
    <row r="385" spans="1:4">
      <c r="A385" s="5"/>
      <c r="B385" s="5">
        <v>8</v>
      </c>
      <c r="C385" s="5">
        <v>1830</v>
      </c>
      <c r="D385" s="5">
        <v>1830</v>
      </c>
    </row>
    <row r="386" spans="1:4">
      <c r="A386" s="5"/>
      <c r="B386" s="5"/>
      <c r="C386" s="5"/>
      <c r="D386" s="5">
        <v>1830</v>
      </c>
    </row>
    <row r="387" spans="1:4">
      <c r="A387" s="5"/>
      <c r="B387" s="5"/>
      <c r="C387" s="5"/>
      <c r="D387" s="5">
        <v>1830</v>
      </c>
    </row>
    <row r="388" spans="1:4">
      <c r="A388" s="5"/>
      <c r="B388" s="5">
        <v>9</v>
      </c>
      <c r="C388" s="5">
        <v>1910</v>
      </c>
      <c r="D388" s="5">
        <v>1910</v>
      </c>
    </row>
    <row r="389" spans="1:4">
      <c r="A389" s="5"/>
      <c r="B389" s="5">
        <v>10</v>
      </c>
      <c r="C389" s="5">
        <v>1240</v>
      </c>
      <c r="D389" s="5">
        <v>1240</v>
      </c>
    </row>
    <row r="390" spans="1:4">
      <c r="A390" s="5"/>
      <c r="B390" s="5">
        <v>11</v>
      </c>
      <c r="C390" s="5">
        <v>657</v>
      </c>
      <c r="D390" s="5">
        <v>657</v>
      </c>
    </row>
    <row r="391" spans="1:4">
      <c r="A391" s="5"/>
      <c r="B391" s="5">
        <v>12</v>
      </c>
      <c r="C391" s="5">
        <v>331</v>
      </c>
      <c r="D391" s="5">
        <v>331</v>
      </c>
    </row>
    <row r="392" spans="1:4">
      <c r="A392" s="5"/>
      <c r="B392" s="5">
        <v>1</v>
      </c>
      <c r="C392" s="5">
        <v>253</v>
      </c>
      <c r="D392" s="5">
        <v>253</v>
      </c>
    </row>
    <row r="393" spans="1:4">
      <c r="A393" s="5"/>
      <c r="B393" s="5">
        <v>2</v>
      </c>
      <c r="C393" s="5">
        <v>267</v>
      </c>
      <c r="D393" s="5">
        <v>267</v>
      </c>
    </row>
    <row r="394" spans="1:4">
      <c r="A394" s="5"/>
      <c r="B394" s="5">
        <v>3</v>
      </c>
      <c r="C394" s="5">
        <v>317</v>
      </c>
      <c r="D394" s="5">
        <v>317</v>
      </c>
    </row>
    <row r="395" spans="1:4">
      <c r="A395" s="5"/>
      <c r="B395" s="5">
        <v>4</v>
      </c>
      <c r="C395" s="5">
        <v>401</v>
      </c>
      <c r="D395" s="5">
        <v>401</v>
      </c>
    </row>
    <row r="396" spans="1:4">
      <c r="A396" s="5"/>
      <c r="B396" s="5">
        <v>5</v>
      </c>
      <c r="C396" s="5">
        <v>757</v>
      </c>
      <c r="D396" s="5">
        <v>757</v>
      </c>
    </row>
    <row r="397" spans="1:4">
      <c r="A397" s="5"/>
      <c r="B397" s="5"/>
      <c r="C397" s="5"/>
      <c r="D397" s="5">
        <v>757</v>
      </c>
    </row>
    <row r="398" spans="1:4">
      <c r="A398" s="5"/>
      <c r="B398" s="5"/>
      <c r="C398" s="5"/>
      <c r="D398" s="5">
        <v>757</v>
      </c>
    </row>
    <row r="399" spans="1:4">
      <c r="A399" s="5"/>
      <c r="B399" s="5">
        <v>6</v>
      </c>
      <c r="C399" s="5">
        <v>789</v>
      </c>
      <c r="D399" s="5">
        <v>789</v>
      </c>
    </row>
    <row r="400" spans="1:4">
      <c r="A400" s="5"/>
      <c r="B400" s="5"/>
      <c r="C400" s="5"/>
      <c r="D400" s="5">
        <v>789</v>
      </c>
    </row>
    <row r="401" spans="1:4">
      <c r="A401" s="5"/>
      <c r="B401" s="5"/>
      <c r="C401" s="5"/>
      <c r="D401" s="5">
        <v>789</v>
      </c>
    </row>
    <row r="402" spans="1:4">
      <c r="A402" s="5">
        <v>1990</v>
      </c>
      <c r="B402" s="5">
        <v>7</v>
      </c>
      <c r="C402" s="5">
        <v>804</v>
      </c>
      <c r="D402" s="5">
        <v>804</v>
      </c>
    </row>
    <row r="403" spans="1:4">
      <c r="A403" s="5"/>
      <c r="B403" s="5"/>
      <c r="C403" s="5"/>
      <c r="D403" s="5">
        <v>804</v>
      </c>
    </row>
    <row r="404" spans="1:4">
      <c r="A404" s="5"/>
      <c r="B404" s="5"/>
      <c r="C404" s="5"/>
      <c r="D404" s="5">
        <v>804</v>
      </c>
    </row>
    <row r="405" spans="1:4">
      <c r="A405" s="5"/>
      <c r="B405" s="5">
        <v>8</v>
      </c>
      <c r="C405" s="5">
        <v>1000</v>
      </c>
      <c r="D405" s="5">
        <v>1000</v>
      </c>
    </row>
    <row r="406" spans="1:4">
      <c r="A406" s="5"/>
      <c r="B406" s="5"/>
      <c r="C406" s="5"/>
      <c r="D406" s="5">
        <v>1000</v>
      </c>
    </row>
    <row r="407" spans="1:4">
      <c r="A407" s="5"/>
      <c r="B407" s="5"/>
      <c r="C407" s="5"/>
      <c r="D407" s="5">
        <v>1000</v>
      </c>
    </row>
    <row r="408" spans="1:4">
      <c r="A408" s="5"/>
      <c r="B408" s="5">
        <v>9</v>
      </c>
      <c r="C408" s="5">
        <v>855</v>
      </c>
      <c r="D408" s="5">
        <v>855</v>
      </c>
    </row>
    <row r="409" spans="1:4">
      <c r="A409" s="5"/>
      <c r="B409" s="5">
        <v>10</v>
      </c>
      <c r="C409" s="5">
        <v>734</v>
      </c>
      <c r="D409" s="5">
        <v>734</v>
      </c>
    </row>
    <row r="410" spans="1:4">
      <c r="A410" s="5"/>
      <c r="B410" s="5">
        <v>11</v>
      </c>
      <c r="C410" s="5">
        <v>418</v>
      </c>
      <c r="D410" s="5">
        <v>418</v>
      </c>
    </row>
    <row r="411" spans="1:4">
      <c r="A411" s="5"/>
      <c r="B411" s="5">
        <v>12</v>
      </c>
      <c r="C411" s="5">
        <v>218</v>
      </c>
      <c r="D411" s="5">
        <v>218</v>
      </c>
    </row>
    <row r="412" spans="1:4">
      <c r="A412" s="5"/>
      <c r="B412" s="5">
        <v>1</v>
      </c>
      <c r="C412" s="5">
        <v>152</v>
      </c>
      <c r="D412" s="5">
        <v>152</v>
      </c>
    </row>
    <row r="413" spans="1:4">
      <c r="A413" s="5"/>
      <c r="B413" s="5">
        <v>2</v>
      </c>
      <c r="C413" s="5">
        <v>181</v>
      </c>
      <c r="D413" s="5">
        <v>181</v>
      </c>
    </row>
    <row r="414" spans="1:4">
      <c r="A414" s="5"/>
      <c r="B414" s="5">
        <v>3</v>
      </c>
      <c r="C414" s="5">
        <v>231</v>
      </c>
      <c r="D414" s="5">
        <v>231</v>
      </c>
    </row>
    <row r="415" spans="1:4">
      <c r="A415" s="5"/>
      <c r="B415" s="5">
        <v>4</v>
      </c>
      <c r="C415" s="5">
        <v>265</v>
      </c>
      <c r="D415" s="5">
        <v>265</v>
      </c>
    </row>
    <row r="416" spans="1:4">
      <c r="A416" s="5"/>
      <c r="B416" s="5">
        <v>5</v>
      </c>
      <c r="C416" s="5">
        <v>505</v>
      </c>
      <c r="D416" s="5">
        <v>505</v>
      </c>
    </row>
    <row r="417" spans="1:4">
      <c r="A417" s="5"/>
      <c r="B417" s="5"/>
      <c r="C417" s="5"/>
      <c r="D417" s="5">
        <v>505</v>
      </c>
    </row>
    <row r="418" spans="1:4">
      <c r="A418" s="5"/>
      <c r="B418" s="5"/>
      <c r="C418" s="5"/>
      <c r="D418" s="5">
        <v>505</v>
      </c>
    </row>
    <row r="419" spans="1:4">
      <c r="A419" s="5"/>
      <c r="B419" s="5">
        <v>6</v>
      </c>
      <c r="C419" s="5">
        <v>614</v>
      </c>
      <c r="D419" s="5">
        <v>614</v>
      </c>
    </row>
    <row r="420" spans="1:4">
      <c r="A420" s="5"/>
      <c r="B420" s="5"/>
      <c r="C420" s="5"/>
      <c r="D420" s="5">
        <v>614</v>
      </c>
    </row>
    <row r="421" spans="1:4">
      <c r="A421" s="5"/>
      <c r="B421" s="5"/>
      <c r="C421" s="5"/>
      <c r="D421" s="5">
        <v>614</v>
      </c>
    </row>
    <row r="422" spans="1:4">
      <c r="A422" s="5">
        <v>1991</v>
      </c>
      <c r="B422" s="5">
        <v>7</v>
      </c>
      <c r="C422" s="5">
        <v>808</v>
      </c>
      <c r="D422" s="5">
        <v>808</v>
      </c>
    </row>
    <row r="423" spans="1:4">
      <c r="A423" s="5"/>
      <c r="B423" s="5"/>
      <c r="C423" s="5"/>
      <c r="D423" s="5">
        <v>808</v>
      </c>
    </row>
    <row r="424" spans="1:4">
      <c r="A424" s="5"/>
      <c r="B424" s="5"/>
      <c r="C424" s="5"/>
      <c r="D424" s="5">
        <v>808</v>
      </c>
    </row>
    <row r="425" spans="1:4">
      <c r="A425" s="5"/>
      <c r="B425" s="5">
        <v>8</v>
      </c>
      <c r="C425" s="5">
        <v>743</v>
      </c>
      <c r="D425" s="5">
        <v>743</v>
      </c>
    </row>
    <row r="426" spans="1:4">
      <c r="A426" s="5"/>
      <c r="B426" s="5"/>
      <c r="C426" s="5"/>
      <c r="D426" s="5">
        <v>743</v>
      </c>
    </row>
    <row r="427" spans="1:4">
      <c r="A427" s="5"/>
      <c r="B427" s="5"/>
      <c r="C427" s="5"/>
      <c r="D427" s="5">
        <v>743</v>
      </c>
    </row>
    <row r="428" spans="1:4">
      <c r="A428" s="5"/>
      <c r="B428" s="5">
        <v>9</v>
      </c>
      <c r="C428" s="5">
        <v>1130</v>
      </c>
      <c r="D428" s="5">
        <v>1130</v>
      </c>
    </row>
    <row r="429" spans="1:4">
      <c r="A429" s="5"/>
      <c r="B429" s="5">
        <v>10</v>
      </c>
      <c r="C429" s="5">
        <v>638</v>
      </c>
      <c r="D429" s="5">
        <v>638</v>
      </c>
    </row>
    <row r="430" spans="1:4">
      <c r="A430" s="5"/>
      <c r="B430" s="5">
        <v>11</v>
      </c>
      <c r="C430" s="5">
        <v>400</v>
      </c>
      <c r="D430" s="5">
        <v>400</v>
      </c>
    </row>
    <row r="431" spans="1:4">
      <c r="A431" s="5"/>
      <c r="B431" s="5">
        <v>12</v>
      </c>
      <c r="C431" s="5">
        <v>187</v>
      </c>
      <c r="D431" s="5">
        <v>187</v>
      </c>
    </row>
    <row r="432" spans="1:4">
      <c r="A432" s="5"/>
      <c r="B432" s="5">
        <v>1</v>
      </c>
      <c r="C432" s="5">
        <v>116</v>
      </c>
      <c r="D432" s="5">
        <v>116</v>
      </c>
    </row>
    <row r="433" spans="1:4">
      <c r="A433" s="5"/>
      <c r="B433" s="5">
        <v>2</v>
      </c>
      <c r="C433" s="5">
        <v>131</v>
      </c>
      <c r="D433" s="5">
        <v>131</v>
      </c>
    </row>
    <row r="434" spans="1:4">
      <c r="A434" s="5"/>
      <c r="B434" s="5">
        <v>3</v>
      </c>
      <c r="C434" s="5">
        <v>204</v>
      </c>
      <c r="D434" s="5">
        <v>204</v>
      </c>
    </row>
    <row r="435" spans="1:4">
      <c r="A435" s="5"/>
      <c r="B435" s="5">
        <v>4</v>
      </c>
      <c r="C435" s="5">
        <v>401</v>
      </c>
      <c r="D435" s="5">
        <v>401</v>
      </c>
    </row>
    <row r="436" spans="1:4">
      <c r="A436" s="5"/>
      <c r="B436" s="5">
        <v>5</v>
      </c>
      <c r="C436" s="5">
        <v>477</v>
      </c>
      <c r="D436" s="5">
        <v>477</v>
      </c>
    </row>
    <row r="437" spans="1:4">
      <c r="A437" s="5"/>
      <c r="B437" s="5"/>
      <c r="C437" s="5"/>
      <c r="D437" s="5">
        <v>477</v>
      </c>
    </row>
    <row r="438" spans="1:4">
      <c r="A438" s="5"/>
      <c r="B438" s="5"/>
      <c r="C438" s="5"/>
      <c r="D438" s="5">
        <v>477</v>
      </c>
    </row>
    <row r="439" spans="1:4">
      <c r="A439" s="5"/>
      <c r="B439" s="5">
        <v>6</v>
      </c>
      <c r="C439" s="5">
        <v>793</v>
      </c>
      <c r="D439" s="5">
        <v>793</v>
      </c>
    </row>
    <row r="440" spans="1:4">
      <c r="A440" s="5"/>
      <c r="B440" s="5"/>
      <c r="C440" s="5"/>
      <c r="D440" s="5">
        <v>793</v>
      </c>
    </row>
    <row r="441" spans="1:4">
      <c r="A441" s="5"/>
      <c r="B441" s="5"/>
      <c r="C441" s="5"/>
      <c r="D441" s="5">
        <v>793</v>
      </c>
    </row>
    <row r="442" spans="1:4">
      <c r="A442" s="5">
        <v>1992</v>
      </c>
      <c r="B442" s="5">
        <v>7</v>
      </c>
      <c r="C442" s="5">
        <v>1660</v>
      </c>
      <c r="D442" s="5">
        <v>1660</v>
      </c>
    </row>
    <row r="443" spans="1:4">
      <c r="A443" s="5"/>
      <c r="B443" s="5"/>
      <c r="C443" s="5"/>
      <c r="D443" s="5">
        <v>1660</v>
      </c>
    </row>
    <row r="444" spans="1:4">
      <c r="A444" s="5"/>
      <c r="B444" s="5"/>
      <c r="C444" s="5"/>
      <c r="D444" s="5">
        <v>1660</v>
      </c>
    </row>
    <row r="445" spans="1:4">
      <c r="A445" s="5"/>
      <c r="B445" s="5">
        <v>8</v>
      </c>
      <c r="C445" s="5">
        <v>1030</v>
      </c>
      <c r="D445" s="5">
        <v>1030</v>
      </c>
    </row>
    <row r="446" spans="1:4">
      <c r="A446" s="5"/>
      <c r="B446" s="5"/>
      <c r="C446" s="5"/>
      <c r="D446" s="5">
        <v>1030</v>
      </c>
    </row>
    <row r="447" spans="1:4">
      <c r="A447" s="5"/>
      <c r="B447" s="5"/>
      <c r="C447" s="5"/>
      <c r="D447" s="5">
        <v>1030</v>
      </c>
    </row>
    <row r="448" spans="1:4">
      <c r="A448" s="5"/>
      <c r="B448" s="5">
        <v>9</v>
      </c>
      <c r="C448" s="5">
        <v>1020</v>
      </c>
      <c r="D448" s="5">
        <v>1020</v>
      </c>
    </row>
    <row r="449" spans="1:4">
      <c r="A449" s="5"/>
      <c r="B449" s="5">
        <v>10</v>
      </c>
      <c r="C449" s="5">
        <v>953</v>
      </c>
      <c r="D449" s="5">
        <v>953</v>
      </c>
    </row>
    <row r="450" spans="1:4">
      <c r="A450" s="5"/>
      <c r="B450" s="5">
        <v>11</v>
      </c>
      <c r="C450" s="5">
        <v>428</v>
      </c>
      <c r="D450" s="5">
        <v>428</v>
      </c>
    </row>
    <row r="451" spans="1:4">
      <c r="A451" s="5"/>
      <c r="B451" s="5">
        <v>12</v>
      </c>
      <c r="C451" s="5">
        <v>229</v>
      </c>
      <c r="D451" s="5">
        <v>229</v>
      </c>
    </row>
    <row r="452" spans="1:4">
      <c r="A452" s="5"/>
      <c r="B452" s="5">
        <v>1</v>
      </c>
      <c r="C452" s="5">
        <v>178</v>
      </c>
      <c r="D452" s="5">
        <v>178</v>
      </c>
    </row>
    <row r="453" spans="1:4">
      <c r="A453" s="5"/>
      <c r="B453" s="5">
        <v>2</v>
      </c>
      <c r="C453" s="5">
        <v>203</v>
      </c>
      <c r="D453" s="5">
        <v>203</v>
      </c>
    </row>
    <row r="454" spans="1:4">
      <c r="A454" s="5"/>
      <c r="B454" s="5">
        <v>3</v>
      </c>
      <c r="C454" s="5">
        <v>264</v>
      </c>
      <c r="D454" s="5">
        <v>264</v>
      </c>
    </row>
    <row r="455" spans="1:4">
      <c r="A455" s="5"/>
      <c r="B455" s="5">
        <v>4</v>
      </c>
      <c r="C455" s="5">
        <v>494</v>
      </c>
      <c r="D455" s="5">
        <v>494</v>
      </c>
    </row>
    <row r="456" spans="1:4">
      <c r="A456" s="5"/>
      <c r="B456" s="5">
        <v>5</v>
      </c>
      <c r="C456" s="5">
        <v>706</v>
      </c>
      <c r="D456" s="5">
        <v>706</v>
      </c>
    </row>
    <row r="457" spans="1:4">
      <c r="A457" s="5"/>
      <c r="B457" s="5"/>
      <c r="C457" s="5"/>
      <c r="D457" s="5">
        <v>706</v>
      </c>
    </row>
    <row r="458" spans="1:4">
      <c r="A458" s="5"/>
      <c r="B458" s="5"/>
      <c r="C458" s="5"/>
      <c r="D458" s="5">
        <v>706</v>
      </c>
    </row>
    <row r="459" spans="1:4">
      <c r="A459" s="5"/>
      <c r="B459" s="5">
        <v>6</v>
      </c>
      <c r="C459" s="5">
        <v>986</v>
      </c>
      <c r="D459" s="5">
        <v>986</v>
      </c>
    </row>
    <row r="460" spans="1:4">
      <c r="A460" s="5"/>
      <c r="B460" s="5"/>
      <c r="C460" s="5"/>
      <c r="D460" s="5">
        <v>986</v>
      </c>
    </row>
    <row r="461" spans="1:4">
      <c r="A461" s="5"/>
      <c r="B461" s="5"/>
      <c r="C461" s="5"/>
      <c r="D461" s="5">
        <v>986</v>
      </c>
    </row>
    <row r="462" spans="1:4">
      <c r="A462" s="5">
        <v>1993</v>
      </c>
      <c r="B462" s="5">
        <v>7</v>
      </c>
      <c r="C462" s="5">
        <v>1360</v>
      </c>
      <c r="D462" s="5">
        <v>1360</v>
      </c>
    </row>
    <row r="463" spans="1:4">
      <c r="A463" s="5"/>
      <c r="B463" s="5"/>
      <c r="C463" s="5"/>
      <c r="D463" s="5">
        <v>1360</v>
      </c>
    </row>
    <row r="464" spans="1:4">
      <c r="A464" s="5"/>
      <c r="B464" s="5"/>
      <c r="C464" s="5"/>
      <c r="D464" s="5">
        <v>1360</v>
      </c>
    </row>
    <row r="465" spans="1:4">
      <c r="A465" s="5"/>
      <c r="B465" s="5">
        <v>8</v>
      </c>
      <c r="C465" s="5">
        <v>1060</v>
      </c>
      <c r="D465" s="5">
        <v>1060</v>
      </c>
    </row>
    <row r="466" spans="1:4">
      <c r="A466" s="5"/>
      <c r="B466" s="5"/>
      <c r="C466" s="5"/>
      <c r="D466" s="5">
        <v>1060</v>
      </c>
    </row>
    <row r="467" spans="1:4">
      <c r="A467" s="5"/>
      <c r="B467" s="5"/>
      <c r="C467" s="5"/>
      <c r="D467" s="5">
        <v>1060</v>
      </c>
    </row>
    <row r="468" spans="1:4">
      <c r="A468" s="5"/>
      <c r="B468" s="5">
        <v>9</v>
      </c>
      <c r="C468" s="5">
        <v>1560</v>
      </c>
      <c r="D468" s="5">
        <v>1560</v>
      </c>
    </row>
    <row r="469" spans="1:4">
      <c r="A469" s="5"/>
      <c r="B469" s="5">
        <v>10</v>
      </c>
      <c r="C469" s="5">
        <v>732</v>
      </c>
      <c r="D469" s="5">
        <v>732</v>
      </c>
    </row>
    <row r="470" spans="1:4">
      <c r="A470" s="5"/>
      <c r="B470" s="5">
        <v>11</v>
      </c>
      <c r="C470" s="5">
        <v>450</v>
      </c>
      <c r="D470" s="5">
        <v>450</v>
      </c>
    </row>
    <row r="471" spans="1:4">
      <c r="A471" s="5"/>
      <c r="B471" s="5">
        <v>12</v>
      </c>
      <c r="C471" s="5">
        <v>223</v>
      </c>
      <c r="D471" s="5">
        <v>223</v>
      </c>
    </row>
    <row r="472" spans="1:4">
      <c r="A472" s="5"/>
      <c r="B472" s="5">
        <v>1</v>
      </c>
      <c r="C472" s="5">
        <v>184</v>
      </c>
      <c r="D472" s="5">
        <v>184</v>
      </c>
    </row>
    <row r="473" spans="1:4">
      <c r="A473" s="5"/>
      <c r="B473" s="5">
        <v>2</v>
      </c>
      <c r="C473" s="5">
        <v>194</v>
      </c>
      <c r="D473" s="5">
        <v>194</v>
      </c>
    </row>
    <row r="474" spans="1:4">
      <c r="A474" s="5"/>
      <c r="B474" s="5">
        <v>3</v>
      </c>
      <c r="C474" s="5">
        <v>230</v>
      </c>
      <c r="D474" s="5">
        <v>230</v>
      </c>
    </row>
    <row r="475" spans="1:4">
      <c r="A475" s="5"/>
      <c r="B475" s="5">
        <v>4</v>
      </c>
      <c r="C475" s="5">
        <v>506</v>
      </c>
      <c r="D475" s="5">
        <v>506</v>
      </c>
    </row>
    <row r="476" spans="1:4">
      <c r="A476" s="5"/>
      <c r="B476" s="5">
        <v>5</v>
      </c>
      <c r="C476" s="5">
        <v>639</v>
      </c>
      <c r="D476" s="5">
        <v>639</v>
      </c>
    </row>
    <row r="477" spans="1:4">
      <c r="A477" s="5"/>
      <c r="B477" s="5"/>
      <c r="C477" s="5"/>
      <c r="D477" s="5">
        <v>639</v>
      </c>
    </row>
    <row r="478" spans="1:4">
      <c r="A478" s="5"/>
      <c r="B478" s="5"/>
      <c r="C478" s="5"/>
      <c r="D478" s="5">
        <v>639</v>
      </c>
    </row>
    <row r="479" spans="1:4">
      <c r="A479" s="5"/>
      <c r="B479" s="5">
        <v>6</v>
      </c>
      <c r="C479" s="5">
        <v>1090</v>
      </c>
      <c r="D479" s="5">
        <v>1090</v>
      </c>
    </row>
    <row r="480" spans="1:4">
      <c r="A480" s="5"/>
      <c r="B480" s="5"/>
      <c r="C480" s="5"/>
      <c r="D480" s="5">
        <v>1090</v>
      </c>
    </row>
    <row r="481" spans="1:4">
      <c r="A481" s="5"/>
      <c r="B481" s="5"/>
      <c r="C481" s="5"/>
      <c r="D481" s="5">
        <v>1090</v>
      </c>
    </row>
    <row r="482" spans="1:4">
      <c r="A482" s="5">
        <v>1994</v>
      </c>
      <c r="B482" s="5">
        <v>7</v>
      </c>
      <c r="C482" s="5">
        <v>955</v>
      </c>
      <c r="D482" s="5">
        <v>955</v>
      </c>
    </row>
    <row r="483" spans="1:4">
      <c r="A483" s="5"/>
      <c r="B483" s="5"/>
      <c r="C483" s="5"/>
      <c r="D483" s="5">
        <v>955</v>
      </c>
    </row>
    <row r="484" spans="1:4">
      <c r="A484" s="5"/>
      <c r="B484" s="5"/>
      <c r="C484" s="5"/>
      <c r="D484" s="5">
        <v>955</v>
      </c>
    </row>
    <row r="485" spans="1:4">
      <c r="A485" s="5"/>
      <c r="B485" s="5">
        <v>8</v>
      </c>
      <c r="C485" s="5">
        <v>687</v>
      </c>
      <c r="D485" s="5">
        <v>687</v>
      </c>
    </row>
    <row r="486" spans="1:4">
      <c r="A486" s="5"/>
      <c r="B486" s="5"/>
      <c r="C486" s="5"/>
      <c r="D486" s="5">
        <v>687</v>
      </c>
    </row>
    <row r="487" spans="1:4">
      <c r="A487" s="5"/>
      <c r="B487" s="5"/>
      <c r="C487" s="5"/>
      <c r="D487" s="5">
        <v>687</v>
      </c>
    </row>
    <row r="488" spans="1:4">
      <c r="A488" s="5"/>
      <c r="B488" s="5">
        <v>9</v>
      </c>
      <c r="C488" s="5">
        <v>597</v>
      </c>
      <c r="D488" s="5">
        <v>597</v>
      </c>
    </row>
    <row r="489" spans="1:4">
      <c r="A489" s="5"/>
      <c r="B489" s="5">
        <v>10</v>
      </c>
      <c r="C489" s="5">
        <v>558</v>
      </c>
      <c r="D489" s="5">
        <v>558</v>
      </c>
    </row>
    <row r="490" spans="1:4">
      <c r="A490" s="5"/>
      <c r="B490" s="5">
        <v>11</v>
      </c>
      <c r="C490" s="5">
        <v>339</v>
      </c>
      <c r="D490" s="5">
        <v>339</v>
      </c>
    </row>
    <row r="491" spans="1:4">
      <c r="A491" s="5"/>
      <c r="B491" s="5">
        <v>12</v>
      </c>
      <c r="C491" s="5">
        <v>190</v>
      </c>
      <c r="D491" s="5">
        <v>190</v>
      </c>
    </row>
    <row r="492" spans="1:4">
      <c r="A492" s="5"/>
      <c r="B492" s="5">
        <v>1</v>
      </c>
      <c r="C492" s="5">
        <v>142</v>
      </c>
      <c r="D492" s="5">
        <v>142</v>
      </c>
    </row>
    <row r="493" spans="1:4">
      <c r="A493" s="5"/>
      <c r="B493" s="5">
        <v>2</v>
      </c>
      <c r="C493" s="5">
        <v>148</v>
      </c>
      <c r="D493" s="5">
        <v>148</v>
      </c>
    </row>
    <row r="494" spans="1:4">
      <c r="A494" s="5"/>
      <c r="B494" s="5">
        <v>3</v>
      </c>
      <c r="C494" s="5">
        <v>201</v>
      </c>
      <c r="D494" s="5">
        <v>201</v>
      </c>
    </row>
    <row r="495" spans="1:4">
      <c r="A495" s="5"/>
      <c r="B495" s="5">
        <v>4</v>
      </c>
      <c r="C495" s="5">
        <v>411</v>
      </c>
      <c r="D495" s="5">
        <v>411</v>
      </c>
    </row>
    <row r="496" spans="1:4">
      <c r="A496" s="5"/>
      <c r="B496" s="5">
        <v>5</v>
      </c>
      <c r="C496" s="5">
        <v>718</v>
      </c>
      <c r="D496" s="5">
        <v>718</v>
      </c>
    </row>
    <row r="497" spans="1:4">
      <c r="A497" s="5"/>
      <c r="B497" s="5"/>
      <c r="C497" s="5"/>
      <c r="D497" s="5">
        <v>718</v>
      </c>
    </row>
    <row r="498" spans="1:4">
      <c r="A498" s="5"/>
      <c r="B498" s="5"/>
      <c r="C498" s="5"/>
      <c r="D498" s="5">
        <v>718</v>
      </c>
    </row>
    <row r="499" spans="1:4">
      <c r="A499" s="5"/>
      <c r="B499" s="5">
        <v>6</v>
      </c>
      <c r="C499" s="5">
        <v>569</v>
      </c>
      <c r="D499" s="5">
        <v>569</v>
      </c>
    </row>
    <row r="500" spans="1:4">
      <c r="A500" s="5"/>
      <c r="B500" s="5"/>
      <c r="C500" s="5"/>
      <c r="D500" s="5">
        <v>569</v>
      </c>
    </row>
    <row r="501" spans="1:4">
      <c r="A501" s="5"/>
      <c r="B501" s="5"/>
      <c r="C501" s="5"/>
      <c r="D501" s="5">
        <v>569</v>
      </c>
    </row>
    <row r="502" spans="1:4">
      <c r="A502" s="5">
        <v>1995</v>
      </c>
      <c r="B502" s="5">
        <v>7</v>
      </c>
      <c r="C502" s="5">
        <v>565</v>
      </c>
      <c r="D502" s="5">
        <v>565</v>
      </c>
    </row>
    <row r="503" spans="1:4">
      <c r="A503" s="5"/>
      <c r="B503" s="5"/>
      <c r="C503" s="5"/>
      <c r="D503" s="5">
        <v>565</v>
      </c>
    </row>
    <row r="504" spans="1:4">
      <c r="A504" s="5"/>
      <c r="B504" s="5"/>
      <c r="C504" s="5"/>
      <c r="D504" s="5">
        <v>565</v>
      </c>
    </row>
    <row r="505" spans="1:4">
      <c r="A505" s="5"/>
      <c r="B505" s="5">
        <v>8</v>
      </c>
      <c r="C505" s="5">
        <v>985</v>
      </c>
      <c r="D505" s="5">
        <v>985</v>
      </c>
    </row>
    <row r="506" spans="1:4">
      <c r="A506" s="5"/>
      <c r="B506" s="5"/>
      <c r="C506" s="5"/>
      <c r="D506" s="5">
        <v>985</v>
      </c>
    </row>
    <row r="507" spans="1:4">
      <c r="A507" s="5"/>
      <c r="B507" s="5"/>
      <c r="C507" s="5"/>
      <c r="D507" s="5">
        <v>985</v>
      </c>
    </row>
    <row r="508" spans="1:4">
      <c r="A508" s="5"/>
      <c r="B508" s="5">
        <v>9</v>
      </c>
      <c r="C508" s="5">
        <v>992</v>
      </c>
      <c r="D508" s="5">
        <v>992</v>
      </c>
    </row>
    <row r="509" spans="1:4">
      <c r="A509" s="5"/>
      <c r="B509" s="5">
        <v>10</v>
      </c>
      <c r="C509" s="5">
        <v>661</v>
      </c>
      <c r="D509" s="5">
        <v>661</v>
      </c>
    </row>
    <row r="510" spans="1:4">
      <c r="A510" s="5"/>
      <c r="B510" s="5">
        <v>11</v>
      </c>
      <c r="C510" s="5">
        <v>420</v>
      </c>
      <c r="D510" s="5">
        <v>420</v>
      </c>
    </row>
    <row r="511" spans="1:4">
      <c r="A511" s="5"/>
      <c r="B511" s="5">
        <v>12</v>
      </c>
      <c r="C511" s="5">
        <v>207</v>
      </c>
      <c r="D511" s="5">
        <v>207</v>
      </c>
    </row>
    <row r="512" spans="1:4">
      <c r="A512" s="5"/>
      <c r="B512" s="5">
        <v>1</v>
      </c>
      <c r="C512" s="5">
        <v>142</v>
      </c>
      <c r="D512" s="5">
        <v>142</v>
      </c>
    </row>
    <row r="513" spans="1:4">
      <c r="A513" s="5"/>
      <c r="B513" s="5">
        <v>2</v>
      </c>
      <c r="C513" s="5">
        <v>151</v>
      </c>
      <c r="D513" s="5">
        <v>151</v>
      </c>
    </row>
    <row r="514" spans="1:4">
      <c r="A514" s="5"/>
      <c r="B514" s="5">
        <v>3</v>
      </c>
      <c r="C514" s="5">
        <v>205</v>
      </c>
      <c r="D514" s="5">
        <v>205</v>
      </c>
    </row>
    <row r="515" spans="1:4">
      <c r="A515" s="5"/>
      <c r="B515" s="5">
        <v>4</v>
      </c>
      <c r="C515" s="5">
        <v>335</v>
      </c>
      <c r="D515" s="5">
        <v>335</v>
      </c>
    </row>
    <row r="516" spans="1:4">
      <c r="A516" s="5"/>
      <c r="B516" s="5">
        <v>5</v>
      </c>
      <c r="C516" s="5">
        <v>572</v>
      </c>
      <c r="D516" s="5">
        <v>572</v>
      </c>
    </row>
    <row r="517" spans="1:4">
      <c r="A517" s="5"/>
      <c r="B517" s="5"/>
      <c r="C517" s="5"/>
      <c r="D517" s="5">
        <v>572</v>
      </c>
    </row>
    <row r="518" spans="1:4">
      <c r="A518" s="5"/>
      <c r="B518" s="5"/>
      <c r="C518" s="5"/>
      <c r="D518" s="5">
        <v>572</v>
      </c>
    </row>
    <row r="519" spans="1:4">
      <c r="A519" s="5"/>
      <c r="B519" s="5">
        <v>6</v>
      </c>
      <c r="C519" s="5">
        <v>833</v>
      </c>
      <c r="D519" s="5">
        <v>833</v>
      </c>
    </row>
    <row r="520" spans="1:4">
      <c r="A520" s="5"/>
      <c r="B520" s="5"/>
      <c r="C520" s="5"/>
      <c r="D520" s="5">
        <v>833</v>
      </c>
    </row>
    <row r="521" spans="1:4">
      <c r="A521" s="5"/>
      <c r="B521" s="5"/>
      <c r="C521" s="5"/>
      <c r="D521" s="5">
        <v>833</v>
      </c>
    </row>
    <row r="522" spans="1:4">
      <c r="A522" s="5">
        <v>1996</v>
      </c>
      <c r="B522" s="5">
        <v>7</v>
      </c>
      <c r="C522" s="5">
        <v>690</v>
      </c>
      <c r="D522" s="5">
        <v>690</v>
      </c>
    </row>
    <row r="523" spans="1:4">
      <c r="A523" s="5"/>
      <c r="B523" s="5"/>
      <c r="C523" s="5"/>
      <c r="D523" s="5">
        <v>690</v>
      </c>
    </row>
    <row r="524" spans="1:4">
      <c r="A524" s="5"/>
      <c r="B524" s="5"/>
      <c r="C524" s="5"/>
      <c r="D524" s="5">
        <v>690</v>
      </c>
    </row>
    <row r="525" spans="1:4">
      <c r="A525" s="5"/>
      <c r="B525" s="5">
        <v>8</v>
      </c>
      <c r="C525" s="5">
        <v>641</v>
      </c>
      <c r="D525" s="5">
        <v>641</v>
      </c>
    </row>
    <row r="526" spans="1:4">
      <c r="A526" s="5"/>
      <c r="B526" s="5"/>
      <c r="C526" s="5"/>
      <c r="D526" s="5">
        <v>641</v>
      </c>
    </row>
    <row r="527" spans="1:4">
      <c r="A527" s="5"/>
      <c r="B527" s="5"/>
      <c r="C527" s="5"/>
      <c r="D527" s="5">
        <v>641</v>
      </c>
    </row>
    <row r="528" spans="1:4">
      <c r="A528" s="5"/>
      <c r="B528" s="5">
        <v>9</v>
      </c>
      <c r="C528" s="5">
        <v>744</v>
      </c>
      <c r="D528" s="5">
        <v>744</v>
      </c>
    </row>
    <row r="529" spans="1:4">
      <c r="A529" s="5"/>
      <c r="B529" s="5">
        <v>10</v>
      </c>
      <c r="C529" s="5">
        <v>579</v>
      </c>
      <c r="D529" s="5">
        <v>579</v>
      </c>
    </row>
    <row r="530" spans="1:4">
      <c r="A530" s="5"/>
      <c r="B530" s="5">
        <v>11</v>
      </c>
      <c r="C530" s="5">
        <v>332</v>
      </c>
      <c r="D530" s="5">
        <v>332</v>
      </c>
    </row>
    <row r="531" spans="1:4">
      <c r="A531" s="5"/>
      <c r="B531" s="5">
        <v>12</v>
      </c>
      <c r="C531" s="5">
        <v>161</v>
      </c>
      <c r="D531" s="5">
        <v>161</v>
      </c>
    </row>
    <row r="532" spans="1:4">
      <c r="A532" s="5"/>
      <c r="B532" s="5">
        <v>1</v>
      </c>
      <c r="C532" s="5">
        <v>124</v>
      </c>
      <c r="D532" s="5">
        <v>124</v>
      </c>
    </row>
    <row r="533" spans="1:4">
      <c r="A533" s="5"/>
      <c r="B533" s="5">
        <v>2</v>
      </c>
      <c r="C533" s="5">
        <v>113</v>
      </c>
      <c r="D533" s="5">
        <v>113</v>
      </c>
    </row>
    <row r="534" spans="1:4">
      <c r="A534" s="5"/>
      <c r="B534" s="5">
        <v>3</v>
      </c>
      <c r="C534" s="5">
        <v>204</v>
      </c>
      <c r="D534" s="5">
        <v>204</v>
      </c>
    </row>
    <row r="535" spans="1:4">
      <c r="A535" s="5"/>
      <c r="B535" s="5">
        <v>4</v>
      </c>
      <c r="C535" s="5">
        <v>295</v>
      </c>
      <c r="D535" s="5">
        <v>295</v>
      </c>
    </row>
    <row r="536" spans="1:4">
      <c r="A536" s="5"/>
      <c r="B536" s="5">
        <v>5</v>
      </c>
      <c r="C536" s="5">
        <v>833</v>
      </c>
      <c r="D536" s="5">
        <v>833</v>
      </c>
    </row>
    <row r="537" spans="1:4">
      <c r="A537" s="5"/>
      <c r="B537" s="5"/>
      <c r="C537" s="5"/>
      <c r="D537" s="5">
        <v>833</v>
      </c>
    </row>
    <row r="538" spans="1:4">
      <c r="A538" s="5"/>
      <c r="B538" s="5"/>
      <c r="C538" s="5"/>
      <c r="D538" s="5">
        <v>833</v>
      </c>
    </row>
    <row r="539" spans="1:4">
      <c r="A539" s="5"/>
      <c r="B539" s="5">
        <v>6</v>
      </c>
      <c r="C539" s="5">
        <v>764</v>
      </c>
      <c r="D539" s="5">
        <v>764</v>
      </c>
    </row>
    <row r="540" spans="1:4">
      <c r="A540" s="5"/>
      <c r="B540" s="5"/>
      <c r="C540" s="5"/>
      <c r="D540" s="5">
        <v>764</v>
      </c>
    </row>
    <row r="541" spans="1:4">
      <c r="A541" s="5"/>
      <c r="B541" s="5"/>
      <c r="C541" s="5"/>
      <c r="D541" s="5">
        <v>764</v>
      </c>
    </row>
    <row r="542" spans="1:4">
      <c r="A542" s="5">
        <v>1997</v>
      </c>
      <c r="B542" s="5">
        <v>7</v>
      </c>
      <c r="C542" s="5">
        <v>986</v>
      </c>
      <c r="D542" s="5">
        <v>986</v>
      </c>
    </row>
    <row r="543" spans="1:4">
      <c r="A543" s="5"/>
      <c r="B543" s="5"/>
      <c r="C543" s="5"/>
      <c r="D543" s="5">
        <v>986</v>
      </c>
    </row>
    <row r="544" spans="1:4">
      <c r="A544" s="5"/>
      <c r="B544" s="5"/>
      <c r="C544" s="5"/>
      <c r="D544" s="5">
        <v>986</v>
      </c>
    </row>
    <row r="545" spans="1:4">
      <c r="A545" s="5"/>
      <c r="B545" s="5">
        <v>8</v>
      </c>
      <c r="C545" s="5">
        <v>493</v>
      </c>
      <c r="D545" s="5">
        <v>493</v>
      </c>
    </row>
    <row r="546" spans="1:4">
      <c r="A546" s="5"/>
      <c r="B546" s="5"/>
      <c r="C546" s="5"/>
      <c r="D546" s="5">
        <v>493</v>
      </c>
    </row>
    <row r="547" spans="1:4">
      <c r="A547" s="5"/>
      <c r="B547" s="5"/>
      <c r="C547" s="5"/>
      <c r="D547" s="5">
        <v>493</v>
      </c>
    </row>
    <row r="548" spans="1:4">
      <c r="A548" s="5"/>
      <c r="B548" s="5">
        <v>9</v>
      </c>
      <c r="C548" s="5">
        <v>651</v>
      </c>
      <c r="D548" s="5">
        <v>651</v>
      </c>
    </row>
    <row r="549" spans="1:4">
      <c r="A549" s="5"/>
      <c r="B549" s="5">
        <v>10</v>
      </c>
      <c r="C549" s="5">
        <v>484</v>
      </c>
      <c r="D549" s="5">
        <v>484</v>
      </c>
    </row>
    <row r="550" spans="1:4">
      <c r="A550" s="5"/>
      <c r="B550" s="5">
        <v>11</v>
      </c>
      <c r="C550" s="5">
        <v>308</v>
      </c>
      <c r="D550" s="5">
        <v>308</v>
      </c>
    </row>
    <row r="551" spans="1:4">
      <c r="A551" s="5"/>
      <c r="B551" s="5">
        <v>12</v>
      </c>
      <c r="C551" s="5">
        <v>151</v>
      </c>
      <c r="D551" s="5">
        <v>151</v>
      </c>
    </row>
    <row r="552" spans="1:4">
      <c r="A552" s="5"/>
      <c r="B552" s="5">
        <v>1</v>
      </c>
      <c r="C552" s="5">
        <v>120</v>
      </c>
      <c r="D552" s="5">
        <v>120</v>
      </c>
    </row>
    <row r="553" spans="1:4">
      <c r="A553" s="5"/>
      <c r="B553" s="5">
        <v>2</v>
      </c>
      <c r="C553" s="5">
        <v>121</v>
      </c>
      <c r="D553" s="5">
        <v>121</v>
      </c>
    </row>
    <row r="554" spans="1:4">
      <c r="A554" s="5"/>
      <c r="B554" s="5">
        <v>3</v>
      </c>
      <c r="C554" s="5">
        <v>169</v>
      </c>
      <c r="D554" s="5">
        <v>169</v>
      </c>
    </row>
    <row r="555" spans="1:4">
      <c r="A555" s="5"/>
      <c r="B555" s="5">
        <v>4</v>
      </c>
      <c r="C555" s="5">
        <v>410</v>
      </c>
      <c r="D555" s="5">
        <v>410</v>
      </c>
    </row>
    <row r="556" spans="1:4">
      <c r="A556" s="5"/>
      <c r="B556" s="5">
        <v>5</v>
      </c>
      <c r="C556" s="5">
        <v>604</v>
      </c>
      <c r="D556" s="5">
        <v>604</v>
      </c>
    </row>
    <row r="557" spans="1:4">
      <c r="A557" s="5"/>
      <c r="B557" s="5"/>
      <c r="C557" s="5"/>
      <c r="D557" s="5">
        <v>604</v>
      </c>
    </row>
    <row r="558" spans="1:4">
      <c r="A558" s="5"/>
      <c r="B558" s="5"/>
      <c r="C558" s="5"/>
      <c r="D558" s="5">
        <v>604</v>
      </c>
    </row>
    <row r="559" spans="1:4">
      <c r="A559" s="5"/>
      <c r="B559" s="5">
        <v>6</v>
      </c>
      <c r="C559" s="5">
        <v>559</v>
      </c>
      <c r="D559" s="5">
        <v>559</v>
      </c>
    </row>
    <row r="560" spans="1:4">
      <c r="A560" s="5"/>
      <c r="B560" s="5"/>
      <c r="C560" s="5"/>
      <c r="D560" s="5">
        <v>559</v>
      </c>
    </row>
    <row r="561" spans="1:4">
      <c r="A561" s="5"/>
      <c r="B561" s="5"/>
      <c r="C561" s="5"/>
      <c r="D561" s="5">
        <v>559</v>
      </c>
    </row>
    <row r="562" spans="1:4">
      <c r="A562" s="5">
        <v>1998</v>
      </c>
      <c r="B562" s="5">
        <v>7</v>
      </c>
      <c r="C562" s="5">
        <v>1050</v>
      </c>
      <c r="D562" s="5">
        <v>1050</v>
      </c>
    </row>
    <row r="563" spans="1:4">
      <c r="A563" s="5"/>
      <c r="B563" s="5"/>
      <c r="C563" s="5"/>
      <c r="D563" s="5">
        <v>1050</v>
      </c>
    </row>
    <row r="564" spans="1:4">
      <c r="A564" s="5"/>
      <c r="B564" s="5"/>
      <c r="C564" s="5"/>
      <c r="D564" s="5">
        <v>1050</v>
      </c>
    </row>
    <row r="565" spans="1:4">
      <c r="A565" s="5"/>
      <c r="B565" s="5">
        <v>8</v>
      </c>
      <c r="C565" s="5">
        <v>1140</v>
      </c>
      <c r="D565" s="5">
        <v>1140</v>
      </c>
    </row>
    <row r="566" spans="1:4">
      <c r="A566" s="5"/>
      <c r="B566" s="5"/>
      <c r="C566" s="5"/>
      <c r="D566" s="5">
        <v>1140</v>
      </c>
    </row>
    <row r="567" spans="1:4">
      <c r="A567" s="5"/>
      <c r="B567" s="5"/>
      <c r="C567" s="5"/>
      <c r="D567" s="5">
        <v>1140</v>
      </c>
    </row>
    <row r="568" spans="1:4">
      <c r="A568" s="5"/>
      <c r="B568" s="5">
        <v>9</v>
      </c>
      <c r="C568" s="5">
        <v>1170</v>
      </c>
      <c r="D568" s="5">
        <v>1170</v>
      </c>
    </row>
    <row r="569" spans="1:4">
      <c r="A569" s="5"/>
      <c r="B569" s="5">
        <v>10</v>
      </c>
      <c r="C569" s="5">
        <v>822</v>
      </c>
      <c r="D569" s="5">
        <v>822</v>
      </c>
    </row>
    <row r="570" spans="1:4">
      <c r="A570" s="5"/>
      <c r="B570" s="5">
        <v>11</v>
      </c>
      <c r="C570" s="5">
        <v>446</v>
      </c>
      <c r="D570" s="5">
        <v>446</v>
      </c>
    </row>
    <row r="571" spans="1:4">
      <c r="A571" s="5"/>
      <c r="B571" s="5">
        <v>12</v>
      </c>
      <c r="C571" s="5">
        <v>214</v>
      </c>
      <c r="D571" s="5">
        <v>214</v>
      </c>
    </row>
    <row r="572" spans="1:4">
      <c r="A572" s="5"/>
      <c r="B572" s="5">
        <v>1</v>
      </c>
      <c r="C572" s="5">
        <v>161</v>
      </c>
      <c r="D572" s="5">
        <v>161</v>
      </c>
    </row>
    <row r="573" spans="1:4">
      <c r="A573" s="5"/>
      <c r="B573" s="5">
        <v>2</v>
      </c>
      <c r="C573" s="5">
        <v>194</v>
      </c>
      <c r="D573" s="5">
        <v>194</v>
      </c>
    </row>
    <row r="574" spans="1:4">
      <c r="A574" s="5"/>
      <c r="B574" s="5">
        <v>3</v>
      </c>
      <c r="C574" s="5">
        <v>225</v>
      </c>
      <c r="D574" s="5">
        <v>225</v>
      </c>
    </row>
    <row r="575" spans="1:4">
      <c r="A575" s="5"/>
      <c r="B575" s="5">
        <v>4</v>
      </c>
      <c r="C575" s="5">
        <v>291</v>
      </c>
      <c r="D575" s="5">
        <v>291</v>
      </c>
    </row>
    <row r="576" spans="1:4">
      <c r="A576" s="5"/>
      <c r="B576" s="5">
        <v>5</v>
      </c>
      <c r="C576" s="5">
        <v>367</v>
      </c>
      <c r="D576" s="5">
        <v>367</v>
      </c>
    </row>
    <row r="577" spans="1:4">
      <c r="A577" s="5"/>
      <c r="B577" s="5"/>
      <c r="C577" s="5"/>
      <c r="D577" s="5">
        <v>367</v>
      </c>
    </row>
    <row r="578" spans="1:4">
      <c r="A578" s="5"/>
      <c r="B578" s="5"/>
      <c r="C578" s="5"/>
      <c r="D578" s="5">
        <v>367</v>
      </c>
    </row>
    <row r="579" spans="1:4">
      <c r="A579" s="5"/>
      <c r="B579" s="5">
        <v>6</v>
      </c>
      <c r="C579" s="5">
        <v>1520</v>
      </c>
      <c r="D579" s="5">
        <v>1520</v>
      </c>
    </row>
    <row r="580" spans="1:4">
      <c r="A580" s="5"/>
      <c r="B580" s="5"/>
      <c r="C580" s="5"/>
      <c r="D580" s="5">
        <v>1520</v>
      </c>
    </row>
    <row r="581" spans="1:4">
      <c r="A581" s="5"/>
      <c r="B581" s="5"/>
      <c r="C581" s="5"/>
      <c r="D581" s="5">
        <v>1520</v>
      </c>
    </row>
    <row r="582" spans="1:4">
      <c r="A582" s="5">
        <v>1999</v>
      </c>
      <c r="B582" s="5">
        <v>7</v>
      </c>
      <c r="C582" s="5">
        <v>2150</v>
      </c>
      <c r="D582" s="5">
        <v>2150</v>
      </c>
    </row>
    <row r="583" spans="1:4">
      <c r="A583" s="5"/>
      <c r="B583" s="5"/>
      <c r="C583" s="5"/>
      <c r="D583" s="5">
        <v>2150</v>
      </c>
    </row>
    <row r="584" spans="1:4">
      <c r="A584" s="5"/>
      <c r="B584" s="5"/>
      <c r="C584" s="5"/>
      <c r="D584" s="5">
        <v>2150</v>
      </c>
    </row>
    <row r="585" spans="1:4">
      <c r="A585" s="5"/>
      <c r="B585" s="5">
        <v>8</v>
      </c>
      <c r="C585" s="5">
        <v>790</v>
      </c>
      <c r="D585" s="5">
        <v>790</v>
      </c>
    </row>
    <row r="586" spans="1:4">
      <c r="A586" s="5"/>
      <c r="B586" s="5"/>
      <c r="C586" s="5"/>
      <c r="D586" s="5">
        <v>790</v>
      </c>
    </row>
    <row r="587" spans="1:4">
      <c r="A587" s="5"/>
      <c r="B587" s="5"/>
      <c r="C587" s="5"/>
      <c r="D587" s="5">
        <v>790</v>
      </c>
    </row>
    <row r="588" spans="1:4">
      <c r="A588" s="5"/>
      <c r="B588" s="5">
        <v>9</v>
      </c>
      <c r="C588" s="5">
        <v>1210</v>
      </c>
      <c r="D588" s="5">
        <v>1210</v>
      </c>
    </row>
    <row r="589" spans="1:4">
      <c r="A589" s="5"/>
      <c r="B589" s="5">
        <v>10</v>
      </c>
      <c r="C589" s="5">
        <v>1030</v>
      </c>
      <c r="D589" s="5">
        <v>1030</v>
      </c>
    </row>
    <row r="590" spans="1:4">
      <c r="A590" s="5"/>
      <c r="B590" s="5">
        <v>11</v>
      </c>
      <c r="C590" s="5">
        <v>547</v>
      </c>
      <c r="D590" s="5">
        <v>547</v>
      </c>
    </row>
    <row r="591" spans="1:4">
      <c r="A591" s="5"/>
      <c r="B591" s="5">
        <v>12</v>
      </c>
      <c r="C591" s="5">
        <v>245</v>
      </c>
      <c r="D591" s="5">
        <v>245</v>
      </c>
    </row>
    <row r="592" spans="1:4">
      <c r="A592" s="5"/>
      <c r="B592" s="5">
        <v>1</v>
      </c>
      <c r="C592" s="5">
        <v>189</v>
      </c>
      <c r="D592" s="5">
        <v>189</v>
      </c>
    </row>
    <row r="593" spans="1:4">
      <c r="A593" s="5"/>
      <c r="B593" s="5">
        <v>2</v>
      </c>
      <c r="C593" s="5">
        <v>175</v>
      </c>
      <c r="D593" s="5">
        <v>175</v>
      </c>
    </row>
    <row r="594" spans="1:4">
      <c r="A594" s="5"/>
      <c r="B594" s="5">
        <v>3</v>
      </c>
      <c r="C594" s="5">
        <v>226</v>
      </c>
      <c r="D594" s="5">
        <v>226</v>
      </c>
    </row>
    <row r="595" spans="1:4">
      <c r="A595" s="5"/>
      <c r="B595" s="5">
        <v>4</v>
      </c>
      <c r="C595" s="5">
        <v>396</v>
      </c>
      <c r="D595" s="5">
        <v>396</v>
      </c>
    </row>
    <row r="596" spans="1:4">
      <c r="A596" s="5"/>
      <c r="B596" s="5">
        <v>5</v>
      </c>
      <c r="C596" s="5">
        <v>444</v>
      </c>
      <c r="D596" s="5">
        <v>444</v>
      </c>
    </row>
    <row r="597" spans="1:4">
      <c r="A597" s="5"/>
      <c r="B597" s="5"/>
      <c r="C597" s="5"/>
      <c r="D597" s="5">
        <v>444</v>
      </c>
    </row>
    <row r="598" spans="1:4">
      <c r="A598" s="5"/>
      <c r="B598" s="5"/>
      <c r="C598" s="5"/>
      <c r="D598" s="5">
        <v>444</v>
      </c>
    </row>
    <row r="599" spans="1:4">
      <c r="A599" s="5"/>
      <c r="B599" s="5">
        <v>6</v>
      </c>
      <c r="C599" s="5">
        <v>934</v>
      </c>
      <c r="D599" s="5">
        <v>934</v>
      </c>
    </row>
    <row r="600" spans="1:4">
      <c r="A600" s="5"/>
      <c r="B600" s="5"/>
      <c r="C600" s="5"/>
      <c r="D600" s="5">
        <v>934</v>
      </c>
    </row>
    <row r="601" spans="1:4">
      <c r="A601" s="5"/>
      <c r="B601" s="5"/>
      <c r="C601" s="5"/>
      <c r="D601" s="5">
        <v>934</v>
      </c>
    </row>
    <row r="602" spans="1:4">
      <c r="A602" s="5">
        <v>2000</v>
      </c>
      <c r="B602" s="5">
        <v>7</v>
      </c>
      <c r="C602" s="5">
        <v>737</v>
      </c>
      <c r="D602" s="5">
        <v>737</v>
      </c>
    </row>
    <row r="603" spans="1:4">
      <c r="A603" s="5"/>
      <c r="B603" s="5"/>
      <c r="C603" s="5"/>
      <c r="D603" s="5">
        <v>737</v>
      </c>
    </row>
    <row r="604" spans="1:4">
      <c r="A604" s="5"/>
      <c r="B604" s="5"/>
      <c r="C604" s="5"/>
      <c r="D604" s="5">
        <v>737</v>
      </c>
    </row>
    <row r="605" spans="1:4">
      <c r="A605" s="5"/>
      <c r="B605" s="5">
        <v>8</v>
      </c>
      <c r="C605" s="5">
        <v>780</v>
      </c>
      <c r="D605" s="5">
        <v>780</v>
      </c>
    </row>
    <row r="606" spans="1:4">
      <c r="A606" s="5"/>
      <c r="B606" s="5"/>
      <c r="C606" s="5"/>
      <c r="D606" s="5">
        <v>780</v>
      </c>
    </row>
    <row r="607" spans="1:4">
      <c r="A607" s="5"/>
      <c r="B607" s="5"/>
      <c r="C607" s="5"/>
      <c r="D607" s="5">
        <v>780</v>
      </c>
    </row>
    <row r="608" spans="1:4">
      <c r="A608" s="5"/>
      <c r="B608" s="5">
        <v>9</v>
      </c>
      <c r="C608" s="5">
        <v>721</v>
      </c>
      <c r="D608" s="5">
        <v>721</v>
      </c>
    </row>
    <row r="609" spans="1:4">
      <c r="A609" s="5"/>
      <c r="B609" s="5">
        <v>10</v>
      </c>
      <c r="C609" s="5">
        <v>624</v>
      </c>
      <c r="D609" s="5">
        <v>624</v>
      </c>
    </row>
    <row r="610" spans="1:4">
      <c r="A610" s="5"/>
      <c r="B610" s="5">
        <v>11</v>
      </c>
      <c r="C610" s="5">
        <v>362</v>
      </c>
      <c r="D610" s="5">
        <v>362</v>
      </c>
    </row>
    <row r="611" spans="1:4">
      <c r="A611" s="5"/>
      <c r="B611" s="5">
        <v>12</v>
      </c>
      <c r="C611" s="5">
        <v>195</v>
      </c>
      <c r="D611" s="5">
        <v>195</v>
      </c>
    </row>
    <row r="612" spans="1:4">
      <c r="A612" s="5"/>
      <c r="B612" s="5">
        <v>1</v>
      </c>
      <c r="C612" s="5">
        <v>189</v>
      </c>
      <c r="D612" s="5">
        <v>189</v>
      </c>
    </row>
    <row r="613" spans="1:4">
      <c r="A613" s="5"/>
      <c r="B613" s="5">
        <v>2</v>
      </c>
      <c r="C613" s="5">
        <v>175</v>
      </c>
      <c r="D613" s="5">
        <v>175</v>
      </c>
    </row>
    <row r="614" spans="1:4">
      <c r="A614" s="5"/>
      <c r="B614" s="5">
        <v>3</v>
      </c>
      <c r="C614" s="5">
        <v>226</v>
      </c>
      <c r="D614" s="5">
        <v>226</v>
      </c>
    </row>
    <row r="615" spans="1:4">
      <c r="A615" s="5"/>
      <c r="B615" s="5">
        <v>4</v>
      </c>
      <c r="C615" s="5">
        <v>396</v>
      </c>
      <c r="D615" s="5">
        <v>396</v>
      </c>
    </row>
    <row r="616" spans="1:4">
      <c r="A616" s="5"/>
      <c r="B616" s="5">
        <v>5</v>
      </c>
      <c r="C616" s="5">
        <v>444</v>
      </c>
      <c r="D616" s="5">
        <v>444</v>
      </c>
    </row>
    <row r="617" spans="1:4">
      <c r="A617" s="5"/>
      <c r="B617" s="5"/>
      <c r="C617" s="5"/>
      <c r="D617" s="5">
        <v>444</v>
      </c>
    </row>
    <row r="618" spans="1:4">
      <c r="A618" s="5"/>
      <c r="B618" s="5"/>
      <c r="C618" s="5"/>
      <c r="D618" s="5">
        <v>444</v>
      </c>
    </row>
    <row r="619" spans="1:4">
      <c r="A619" s="5"/>
      <c r="B619" s="5">
        <v>6</v>
      </c>
      <c r="C619" s="5">
        <v>934</v>
      </c>
      <c r="D619" s="5">
        <v>934</v>
      </c>
    </row>
    <row r="620" spans="1:4">
      <c r="A620" s="5"/>
      <c r="B620" s="5"/>
      <c r="C620" s="5"/>
      <c r="D620" s="5">
        <v>934</v>
      </c>
    </row>
    <row r="621" spans="1:4">
      <c r="A621" s="5"/>
      <c r="B621" s="5"/>
      <c r="C621" s="5"/>
      <c r="D621" s="5">
        <v>934</v>
      </c>
    </row>
    <row r="622" spans="1:4">
      <c r="A622" s="5">
        <v>2001</v>
      </c>
      <c r="B622" s="5">
        <v>7</v>
      </c>
      <c r="C622" s="5">
        <v>737</v>
      </c>
      <c r="D622" s="5">
        <v>737</v>
      </c>
    </row>
    <row r="623" spans="1:4">
      <c r="A623" s="5"/>
      <c r="B623" s="5"/>
      <c r="C623" s="5"/>
      <c r="D623" s="5">
        <v>737</v>
      </c>
    </row>
    <row r="624" spans="1:4">
      <c r="A624" s="5"/>
      <c r="B624" s="5"/>
      <c r="C624" s="5"/>
      <c r="D624" s="5">
        <v>737</v>
      </c>
    </row>
    <row r="625" spans="1:4">
      <c r="A625" s="5"/>
      <c r="B625" s="5">
        <v>8</v>
      </c>
      <c r="C625" s="5">
        <v>780</v>
      </c>
      <c r="D625" s="5">
        <v>780</v>
      </c>
    </row>
    <row r="626" spans="1:4">
      <c r="A626" s="5"/>
      <c r="B626" s="5"/>
      <c r="C626" s="5"/>
      <c r="D626" s="5">
        <v>780</v>
      </c>
    </row>
    <row r="627" spans="1:4">
      <c r="A627" s="5"/>
      <c r="B627" s="5"/>
      <c r="C627" s="5"/>
      <c r="D627" s="5">
        <v>780</v>
      </c>
    </row>
    <row r="628" spans="1:4">
      <c r="A628" s="5"/>
      <c r="B628" s="5">
        <v>9</v>
      </c>
      <c r="C628" s="5">
        <v>721</v>
      </c>
      <c r="D628" s="5">
        <v>721</v>
      </c>
    </row>
    <row r="629" spans="1:4">
      <c r="A629" s="5"/>
      <c r="B629" s="5">
        <v>10</v>
      </c>
      <c r="C629" s="5">
        <v>624</v>
      </c>
      <c r="D629" s="5">
        <v>624</v>
      </c>
    </row>
    <row r="630" spans="1:4">
      <c r="A630" s="5"/>
      <c r="B630" s="5">
        <v>11</v>
      </c>
      <c r="C630" s="5">
        <v>362</v>
      </c>
      <c r="D630" s="5">
        <v>362</v>
      </c>
    </row>
    <row r="631" spans="1:4">
      <c r="A631" s="5"/>
      <c r="B631" s="5">
        <v>12</v>
      </c>
      <c r="C631" s="5">
        <v>195</v>
      </c>
      <c r="D631" s="5">
        <v>195</v>
      </c>
    </row>
    <row r="632" spans="1:4">
      <c r="A632" s="5"/>
      <c r="B632" s="5">
        <v>1</v>
      </c>
      <c r="C632" s="5">
        <v>136</v>
      </c>
      <c r="D632" s="5">
        <v>136</v>
      </c>
    </row>
    <row r="633" spans="1:4">
      <c r="A633" s="5"/>
      <c r="B633" s="5">
        <v>2</v>
      </c>
      <c r="C633" s="5">
        <v>153</v>
      </c>
      <c r="D633" s="5">
        <v>153</v>
      </c>
    </row>
    <row r="634" spans="1:4">
      <c r="A634" s="5"/>
      <c r="B634" s="5">
        <v>3</v>
      </c>
      <c r="C634" s="5">
        <v>186</v>
      </c>
      <c r="D634" s="5">
        <v>186</v>
      </c>
    </row>
    <row r="635" spans="1:4">
      <c r="A635" s="5"/>
      <c r="B635" s="5">
        <v>4</v>
      </c>
      <c r="C635" s="5">
        <v>245</v>
      </c>
      <c r="D635" s="5">
        <v>245</v>
      </c>
    </row>
    <row r="636" spans="1:4">
      <c r="A636" s="5"/>
      <c r="B636" s="5">
        <v>5</v>
      </c>
      <c r="C636" s="5">
        <v>311</v>
      </c>
      <c r="D636" s="5">
        <v>311</v>
      </c>
    </row>
    <row r="637" spans="1:4">
      <c r="A637" s="5"/>
      <c r="B637" s="5"/>
      <c r="C637" s="5"/>
      <c r="D637" s="5">
        <v>311</v>
      </c>
    </row>
    <row r="638" spans="1:4">
      <c r="A638" s="5"/>
      <c r="B638" s="5"/>
      <c r="C638" s="5"/>
      <c r="D638" s="5">
        <v>311</v>
      </c>
    </row>
    <row r="639" spans="1:4">
      <c r="A639" s="5"/>
      <c r="B639" s="5">
        <v>6</v>
      </c>
      <c r="C639" s="5">
        <v>793</v>
      </c>
      <c r="D639" s="5">
        <v>793</v>
      </c>
    </row>
    <row r="640" spans="1:4">
      <c r="A640" s="5"/>
      <c r="B640" s="5"/>
      <c r="C640" s="5"/>
      <c r="D640" s="5">
        <v>793</v>
      </c>
    </row>
    <row r="641" spans="1:4">
      <c r="A641" s="5"/>
      <c r="B641" s="5"/>
      <c r="C641" s="5"/>
      <c r="D641" s="5">
        <v>793</v>
      </c>
    </row>
    <row r="642" spans="1:4">
      <c r="A642" s="5">
        <v>2002</v>
      </c>
      <c r="B642" s="5">
        <v>7</v>
      </c>
      <c r="C642" s="5">
        <v>788</v>
      </c>
      <c r="D642" s="5">
        <v>788</v>
      </c>
    </row>
    <row r="643" spans="1:4">
      <c r="A643" s="5"/>
      <c r="B643" s="5"/>
      <c r="C643" s="5"/>
      <c r="D643" s="5">
        <v>788</v>
      </c>
    </row>
    <row r="644" spans="1:4">
      <c r="A644" s="5"/>
      <c r="B644" s="5"/>
      <c r="C644" s="5"/>
      <c r="D644" s="5">
        <v>788</v>
      </c>
    </row>
    <row r="645" spans="1:4">
      <c r="A645" s="5"/>
      <c r="B645" s="5">
        <v>8</v>
      </c>
      <c r="C645" s="5">
        <v>397</v>
      </c>
      <c r="D645" s="5">
        <v>397</v>
      </c>
    </row>
    <row r="646" spans="1:4">
      <c r="A646" s="5"/>
      <c r="B646" s="5"/>
      <c r="C646" s="5"/>
      <c r="D646" s="5">
        <v>397</v>
      </c>
    </row>
    <row r="647" spans="1:4">
      <c r="A647" s="5"/>
      <c r="B647" s="5"/>
      <c r="C647" s="5"/>
      <c r="D647" s="5">
        <v>397</v>
      </c>
    </row>
    <row r="648" spans="1:4">
      <c r="A648" s="5"/>
      <c r="B648" s="5">
        <v>9</v>
      </c>
      <c r="C648" s="5">
        <v>458</v>
      </c>
      <c r="D648" s="5">
        <v>458</v>
      </c>
    </row>
    <row r="649" spans="1:4">
      <c r="A649" s="5"/>
      <c r="B649" s="5">
        <v>10</v>
      </c>
      <c r="C649" s="5">
        <v>333</v>
      </c>
      <c r="D649" s="5">
        <v>333</v>
      </c>
    </row>
    <row r="650" spans="1:4">
      <c r="A650" s="5"/>
      <c r="B650" s="5">
        <v>11</v>
      </c>
      <c r="C650" s="5">
        <v>210</v>
      </c>
      <c r="D650" s="5">
        <v>210</v>
      </c>
    </row>
    <row r="651" spans="1:4">
      <c r="A651" s="5"/>
      <c r="B651" s="5">
        <v>12</v>
      </c>
      <c r="C651" s="5">
        <v>127</v>
      </c>
      <c r="D651" s="5">
        <v>127</v>
      </c>
    </row>
    <row r="652" spans="1:4">
      <c r="A652" s="5"/>
      <c r="B652" s="5">
        <v>1</v>
      </c>
      <c r="C652" s="5">
        <v>81.900000000000006</v>
      </c>
      <c r="D652" s="5">
        <v>81.900000000000006</v>
      </c>
    </row>
    <row r="653" spans="1:4">
      <c r="A653" s="5"/>
      <c r="B653" s="5">
        <v>2</v>
      </c>
      <c r="C653" s="5">
        <v>106</v>
      </c>
      <c r="D653" s="5">
        <v>106</v>
      </c>
    </row>
    <row r="654" spans="1:4">
      <c r="A654" s="5"/>
      <c r="B654" s="5">
        <v>3</v>
      </c>
      <c r="C654" s="5">
        <v>150</v>
      </c>
      <c r="D654" s="5">
        <v>150</v>
      </c>
    </row>
    <row r="655" spans="1:4">
      <c r="A655" s="5"/>
      <c r="B655" s="5">
        <v>4</v>
      </c>
      <c r="C655" s="5">
        <v>222</v>
      </c>
      <c r="D655" s="5">
        <v>222</v>
      </c>
    </row>
    <row r="656" spans="1:4">
      <c r="A656" s="5"/>
      <c r="B656" s="5">
        <v>5</v>
      </c>
      <c r="C656" s="5">
        <v>379</v>
      </c>
      <c r="D656" s="5">
        <v>379</v>
      </c>
    </row>
    <row r="657" spans="1:4">
      <c r="A657" s="5"/>
      <c r="B657" s="5"/>
      <c r="C657" s="5"/>
      <c r="D657" s="5">
        <v>379</v>
      </c>
    </row>
    <row r="658" spans="1:4">
      <c r="A658" s="5"/>
      <c r="B658" s="5"/>
      <c r="C658" s="5"/>
      <c r="D658" s="5">
        <v>379</v>
      </c>
    </row>
    <row r="659" spans="1:4">
      <c r="A659" s="5"/>
      <c r="B659" s="5">
        <v>6</v>
      </c>
      <c r="C659" s="5">
        <v>527</v>
      </c>
      <c r="D659" s="5">
        <v>527</v>
      </c>
    </row>
    <row r="660" spans="1:4">
      <c r="A660" s="5"/>
      <c r="B660" s="5"/>
      <c r="C660" s="5"/>
      <c r="D660" s="5">
        <v>527</v>
      </c>
    </row>
    <row r="661" spans="1:4">
      <c r="A661" s="5"/>
      <c r="B661" s="5"/>
      <c r="C661" s="5"/>
      <c r="D661" s="5">
        <v>527</v>
      </c>
    </row>
    <row r="662" spans="1:4">
      <c r="A662" s="5">
        <v>2003</v>
      </c>
      <c r="B662" s="5">
        <v>7</v>
      </c>
      <c r="C662" s="5">
        <v>830</v>
      </c>
      <c r="D662" s="5">
        <v>830</v>
      </c>
    </row>
    <row r="663" spans="1:4">
      <c r="A663" s="5"/>
      <c r="B663" s="5"/>
      <c r="C663" s="5"/>
      <c r="D663" s="5">
        <v>830</v>
      </c>
    </row>
    <row r="664" spans="1:4">
      <c r="A664" s="5"/>
      <c r="B664" s="5"/>
      <c r="C664" s="5"/>
      <c r="D664" s="5">
        <v>830</v>
      </c>
    </row>
    <row r="665" spans="1:4">
      <c r="A665" s="5"/>
      <c r="B665" s="5">
        <v>8</v>
      </c>
      <c r="C665" s="5">
        <v>1410</v>
      </c>
      <c r="D665" s="5">
        <v>1410</v>
      </c>
    </row>
    <row r="666" spans="1:4">
      <c r="A666" s="5"/>
      <c r="B666" s="5"/>
      <c r="C666" s="5"/>
      <c r="D666" s="5">
        <v>1410</v>
      </c>
    </row>
    <row r="667" spans="1:4">
      <c r="A667" s="5"/>
      <c r="B667" s="5"/>
      <c r="C667" s="5"/>
      <c r="D667" s="5">
        <v>1410</v>
      </c>
    </row>
    <row r="668" spans="1:4">
      <c r="A668" s="5"/>
      <c r="B668" s="5">
        <v>9</v>
      </c>
      <c r="C668" s="5">
        <v>1170</v>
      </c>
      <c r="D668" s="5">
        <v>1170</v>
      </c>
    </row>
    <row r="669" spans="1:4">
      <c r="A669" s="5"/>
      <c r="B669" s="5">
        <v>10</v>
      </c>
      <c r="C669" s="5">
        <v>945</v>
      </c>
      <c r="D669" s="5">
        <v>945</v>
      </c>
    </row>
    <row r="670" spans="1:4">
      <c r="A670" s="5"/>
      <c r="B670" s="5">
        <v>11</v>
      </c>
      <c r="C670" s="5">
        <v>422</v>
      </c>
      <c r="D670" s="5">
        <v>422</v>
      </c>
    </row>
    <row r="671" spans="1:4">
      <c r="A671" s="5"/>
      <c r="B671" s="5">
        <v>12</v>
      </c>
      <c r="C671" s="5">
        <v>211</v>
      </c>
      <c r="D671" s="5">
        <v>211</v>
      </c>
    </row>
    <row r="672" spans="1:4">
      <c r="A672" s="5"/>
      <c r="B672" s="5">
        <v>1</v>
      </c>
      <c r="C672" s="5">
        <v>156</v>
      </c>
      <c r="D672" s="5">
        <v>156</v>
      </c>
    </row>
    <row r="673" spans="1:4">
      <c r="A673" s="5"/>
      <c r="B673" s="5">
        <v>2</v>
      </c>
      <c r="C673" s="5">
        <v>157</v>
      </c>
      <c r="D673" s="5">
        <v>157</v>
      </c>
    </row>
    <row r="674" spans="1:4">
      <c r="A674" s="5"/>
      <c r="B674" s="5">
        <v>3</v>
      </c>
      <c r="C674" s="5">
        <v>214</v>
      </c>
      <c r="D674" s="5">
        <v>214</v>
      </c>
    </row>
    <row r="675" spans="1:4">
      <c r="A675" s="5"/>
      <c r="B675" s="5">
        <v>4</v>
      </c>
      <c r="C675" s="5">
        <v>238</v>
      </c>
      <c r="D675" s="5">
        <v>238</v>
      </c>
    </row>
    <row r="676" spans="1:4">
      <c r="A676" s="5"/>
      <c r="B676" s="5">
        <v>5</v>
      </c>
      <c r="C676" s="5">
        <v>334</v>
      </c>
      <c r="D676" s="5">
        <v>334</v>
      </c>
    </row>
    <row r="677" spans="1:4">
      <c r="A677" s="5"/>
      <c r="B677" s="5"/>
      <c r="C677" s="5"/>
      <c r="D677" s="5">
        <v>334</v>
      </c>
    </row>
    <row r="678" spans="1:4">
      <c r="A678" s="5"/>
      <c r="B678" s="5"/>
      <c r="C678" s="5"/>
      <c r="D678" s="5">
        <v>334</v>
      </c>
    </row>
    <row r="679" spans="1:4">
      <c r="A679" s="5"/>
      <c r="B679" s="5">
        <v>6</v>
      </c>
      <c r="C679" s="5">
        <v>661</v>
      </c>
      <c r="D679" s="5">
        <v>661</v>
      </c>
    </row>
    <row r="680" spans="1:4">
      <c r="A680" s="5"/>
      <c r="B680" s="5"/>
      <c r="C680" s="5"/>
      <c r="D680" s="5">
        <v>661</v>
      </c>
    </row>
    <row r="681" spans="1:4">
      <c r="A681" s="5"/>
      <c r="B681" s="5"/>
      <c r="C681" s="5"/>
      <c r="D681" s="5">
        <v>661</v>
      </c>
    </row>
    <row r="682" spans="1:4" ht="14.75" customHeight="1">
      <c r="A682" s="5">
        <v>2004</v>
      </c>
      <c r="B682" s="5">
        <v>7</v>
      </c>
      <c r="C682" s="5">
        <v>683</v>
      </c>
      <c r="D682" s="5">
        <v>683</v>
      </c>
    </row>
    <row r="683" spans="1:4" ht="14.75" customHeight="1">
      <c r="A683" s="5"/>
      <c r="B683" s="5"/>
      <c r="C683" s="5"/>
      <c r="D683" s="5">
        <v>683</v>
      </c>
    </row>
    <row r="684" spans="1:4" ht="14.75" customHeight="1">
      <c r="A684" s="5"/>
      <c r="B684" s="5"/>
      <c r="C684" s="5"/>
      <c r="D684" s="5">
        <v>683</v>
      </c>
    </row>
    <row r="685" spans="1:4">
      <c r="A685" s="5"/>
      <c r="B685" s="5">
        <v>8</v>
      </c>
      <c r="C685" s="5">
        <v>997</v>
      </c>
      <c r="D685" s="5">
        <v>997</v>
      </c>
    </row>
    <row r="686" spans="1:4">
      <c r="A686" s="5"/>
      <c r="B686" s="5"/>
      <c r="C686" s="5"/>
      <c r="D686" s="5">
        <v>997</v>
      </c>
    </row>
    <row r="687" spans="1:4">
      <c r="A687" s="5"/>
      <c r="B687" s="5"/>
      <c r="C687" s="5"/>
      <c r="D687" s="5">
        <v>997</v>
      </c>
    </row>
    <row r="688" spans="1:4">
      <c r="A688" s="5"/>
      <c r="B688" s="5">
        <v>9</v>
      </c>
      <c r="C688" s="5">
        <v>859</v>
      </c>
      <c r="D688" s="5">
        <v>859</v>
      </c>
    </row>
    <row r="689" spans="1:4">
      <c r="A689" s="5"/>
      <c r="B689" s="5">
        <v>10</v>
      </c>
      <c r="C689" s="5">
        <v>778</v>
      </c>
      <c r="D689" s="5">
        <v>778</v>
      </c>
    </row>
    <row r="690" spans="1:4">
      <c r="A690" s="5"/>
      <c r="B690" s="5">
        <v>11</v>
      </c>
      <c r="C690" s="5">
        <v>414</v>
      </c>
      <c r="D690" s="5">
        <v>414</v>
      </c>
    </row>
    <row r="691" spans="1:4">
      <c r="A691" s="5"/>
      <c r="B691" s="5">
        <v>12</v>
      </c>
      <c r="C691" s="5">
        <v>213</v>
      </c>
      <c r="D691" s="5">
        <v>213</v>
      </c>
    </row>
    <row r="692" spans="1:4">
      <c r="A692" s="5"/>
      <c r="B692" s="5">
        <v>1</v>
      </c>
      <c r="C692" s="5">
        <v>170</v>
      </c>
      <c r="D692" s="5">
        <v>170</v>
      </c>
    </row>
    <row r="693" spans="1:4">
      <c r="A693" s="5"/>
      <c r="B693" s="5">
        <v>2</v>
      </c>
      <c r="C693" s="5">
        <v>160</v>
      </c>
      <c r="D693" s="5">
        <v>160</v>
      </c>
    </row>
    <row r="694" spans="1:4">
      <c r="A694" s="5"/>
      <c r="B694" s="5">
        <v>3</v>
      </c>
      <c r="C694" s="5">
        <v>221</v>
      </c>
      <c r="D694" s="5">
        <v>221</v>
      </c>
    </row>
    <row r="695" spans="1:4">
      <c r="A695" s="5"/>
      <c r="B695" s="5">
        <v>4</v>
      </c>
      <c r="C695" s="5">
        <v>358</v>
      </c>
      <c r="D695" s="5">
        <v>358</v>
      </c>
    </row>
    <row r="696" spans="1:4">
      <c r="A696" s="5"/>
      <c r="B696" s="5">
        <v>5</v>
      </c>
      <c r="C696" s="5">
        <v>644</v>
      </c>
      <c r="D696" s="5">
        <v>644</v>
      </c>
    </row>
    <row r="697" spans="1:4">
      <c r="A697" s="5"/>
      <c r="B697" s="5"/>
      <c r="C697" s="5"/>
      <c r="D697" s="5">
        <v>644</v>
      </c>
    </row>
    <row r="698" spans="1:4">
      <c r="A698" s="5"/>
      <c r="B698" s="5"/>
      <c r="C698" s="5"/>
      <c r="D698" s="5">
        <v>644</v>
      </c>
    </row>
    <row r="699" spans="1:4">
      <c r="A699" s="5"/>
      <c r="B699" s="5">
        <v>6</v>
      </c>
      <c r="C699" s="5">
        <v>785</v>
      </c>
      <c r="D699" s="5">
        <v>785</v>
      </c>
    </row>
    <row r="700" spans="1:4">
      <c r="A700" s="5"/>
      <c r="B700" s="5"/>
      <c r="C700" s="5"/>
      <c r="D700" s="5">
        <v>785</v>
      </c>
    </row>
    <row r="701" spans="1:4">
      <c r="A701" s="5"/>
      <c r="B701" s="5"/>
      <c r="C701" s="5"/>
      <c r="D701" s="5">
        <v>785</v>
      </c>
    </row>
    <row r="702" spans="1:4">
      <c r="A702" s="5">
        <v>2005</v>
      </c>
      <c r="B702" s="5">
        <v>7</v>
      </c>
      <c r="C702" s="5">
        <v>1870</v>
      </c>
      <c r="D702" s="5">
        <v>1870</v>
      </c>
    </row>
    <row r="703" spans="1:4">
      <c r="A703" s="5"/>
      <c r="B703" s="5"/>
      <c r="C703" s="5"/>
      <c r="D703" s="5">
        <v>1870</v>
      </c>
    </row>
    <row r="704" spans="1:4">
      <c r="A704" s="5"/>
      <c r="B704" s="5"/>
      <c r="C704" s="5"/>
      <c r="D704" s="5">
        <v>1870</v>
      </c>
    </row>
    <row r="705" spans="1:4">
      <c r="A705" s="5"/>
      <c r="B705" s="5">
        <v>8</v>
      </c>
      <c r="C705" s="5">
        <v>1290</v>
      </c>
      <c r="D705" s="5">
        <v>1290</v>
      </c>
    </row>
    <row r="706" spans="1:4">
      <c r="A706" s="5"/>
      <c r="B706" s="5"/>
      <c r="C706" s="5"/>
      <c r="D706" s="5">
        <v>1290</v>
      </c>
    </row>
    <row r="707" spans="1:4">
      <c r="A707" s="5"/>
      <c r="B707" s="5"/>
      <c r="C707" s="5"/>
      <c r="D707" s="5">
        <v>1290</v>
      </c>
    </row>
    <row r="708" spans="1:4">
      <c r="A708" s="5"/>
      <c r="B708" s="5">
        <v>9</v>
      </c>
      <c r="C708" s="5">
        <v>1466</v>
      </c>
      <c r="D708" s="5">
        <v>1466</v>
      </c>
    </row>
    <row r="709" spans="1:4">
      <c r="A709" s="5"/>
      <c r="B709" s="5">
        <v>10</v>
      </c>
      <c r="C709" s="5">
        <v>1620</v>
      </c>
      <c r="D709" s="5">
        <v>1620</v>
      </c>
    </row>
    <row r="710" spans="1:4">
      <c r="A710" s="5"/>
      <c r="B710" s="5">
        <v>11</v>
      </c>
      <c r="C710" s="5">
        <v>579</v>
      </c>
      <c r="D710" s="5">
        <v>579</v>
      </c>
    </row>
    <row r="711" spans="1:4">
      <c r="A711" s="5"/>
      <c r="B711" s="5">
        <v>12</v>
      </c>
      <c r="C711" s="5">
        <v>270</v>
      </c>
      <c r="D711" s="5">
        <v>270</v>
      </c>
    </row>
    <row r="712" spans="1:4">
      <c r="A712" s="5"/>
      <c r="B712" s="5">
        <v>1</v>
      </c>
      <c r="C712" s="5">
        <v>233</v>
      </c>
      <c r="D712" s="5">
        <v>233</v>
      </c>
    </row>
    <row r="713" spans="1:4">
      <c r="A713" s="5"/>
      <c r="B713" s="5">
        <v>2</v>
      </c>
      <c r="C713" s="5">
        <v>225</v>
      </c>
      <c r="D713" s="5">
        <v>225</v>
      </c>
    </row>
    <row r="714" spans="1:4">
      <c r="A714" s="5"/>
      <c r="B714" s="5">
        <v>3</v>
      </c>
      <c r="C714" s="5">
        <v>239</v>
      </c>
      <c r="D714" s="5">
        <v>239</v>
      </c>
    </row>
    <row r="715" spans="1:4">
      <c r="A715" s="5"/>
      <c r="B715" s="5">
        <v>4</v>
      </c>
      <c r="C715" s="5">
        <v>322</v>
      </c>
      <c r="D715" s="5">
        <v>322</v>
      </c>
    </row>
    <row r="716" spans="1:4">
      <c r="A716" s="5"/>
      <c r="B716" s="5">
        <v>5</v>
      </c>
      <c r="C716" s="5">
        <v>399.48</v>
      </c>
      <c r="D716" s="5">
        <v>399.48</v>
      </c>
    </row>
    <row r="717" spans="1:4">
      <c r="A717" s="5"/>
      <c r="B717" s="5"/>
      <c r="C717" s="5"/>
      <c r="D717" s="5">
        <v>399.48</v>
      </c>
    </row>
    <row r="718" spans="1:4">
      <c r="A718" s="5"/>
      <c r="B718" s="5"/>
      <c r="C718" s="5"/>
      <c r="D718" s="5">
        <v>399.48</v>
      </c>
    </row>
    <row r="719" spans="1:4">
      <c r="A719" s="5"/>
      <c r="B719" s="5">
        <v>6</v>
      </c>
      <c r="C719" s="5">
        <v>642</v>
      </c>
      <c r="D719" s="5">
        <v>642</v>
      </c>
    </row>
    <row r="720" spans="1:4">
      <c r="A720" s="5"/>
      <c r="B720" s="5"/>
      <c r="C720" s="5"/>
      <c r="D720" s="5">
        <v>642</v>
      </c>
    </row>
    <row r="721" spans="1:4">
      <c r="A721" s="5"/>
      <c r="B721" s="5"/>
      <c r="C721" s="5"/>
      <c r="D721" s="5">
        <v>642</v>
      </c>
    </row>
    <row r="722" spans="1:4">
      <c r="A722" s="5">
        <v>2006</v>
      </c>
      <c r="B722" s="5">
        <v>7</v>
      </c>
      <c r="C722" s="5">
        <v>850</v>
      </c>
      <c r="D722" s="5">
        <v>850</v>
      </c>
    </row>
    <row r="723" spans="1:4">
      <c r="A723" s="5"/>
      <c r="B723" s="5"/>
      <c r="C723" s="5"/>
      <c r="D723" s="5">
        <v>850</v>
      </c>
    </row>
    <row r="724" spans="1:4">
      <c r="A724" s="5"/>
      <c r="B724" s="5"/>
      <c r="C724" s="5"/>
      <c r="D724" s="5">
        <v>850</v>
      </c>
    </row>
    <row r="725" spans="1:4">
      <c r="A725" s="5"/>
      <c r="B725" s="5">
        <v>8</v>
      </c>
      <c r="C725" s="5">
        <v>817</v>
      </c>
      <c r="D725" s="5">
        <v>817</v>
      </c>
    </row>
    <row r="726" spans="1:4">
      <c r="A726" s="5"/>
      <c r="B726" s="5"/>
      <c r="C726" s="5"/>
      <c r="D726" s="5">
        <v>817</v>
      </c>
    </row>
    <row r="727" spans="1:4">
      <c r="A727" s="5"/>
      <c r="B727" s="5"/>
      <c r="C727" s="5"/>
      <c r="D727" s="5">
        <v>817</v>
      </c>
    </row>
    <row r="728" spans="1:4">
      <c r="A728" s="5"/>
      <c r="B728" s="5">
        <v>9</v>
      </c>
      <c r="C728" s="5">
        <v>597</v>
      </c>
      <c r="D728" s="5">
        <v>597</v>
      </c>
    </row>
    <row r="729" spans="1:4">
      <c r="A729" s="5"/>
      <c r="B729" s="5">
        <v>10</v>
      </c>
      <c r="C729" s="5">
        <v>683</v>
      </c>
      <c r="D729" s="5">
        <v>683</v>
      </c>
    </row>
    <row r="730" spans="1:4">
      <c r="A730" s="5"/>
      <c r="B730" s="5">
        <v>11</v>
      </c>
      <c r="C730" s="5">
        <v>358</v>
      </c>
      <c r="D730" s="5">
        <v>358</v>
      </c>
    </row>
    <row r="731" spans="1:4">
      <c r="A731" s="5"/>
      <c r="B731" s="5">
        <v>12</v>
      </c>
      <c r="C731" s="5">
        <v>200</v>
      </c>
      <c r="D731" s="5">
        <v>200</v>
      </c>
    </row>
    <row r="732" spans="1:4">
      <c r="A732" s="5"/>
      <c r="B732" s="5">
        <v>1</v>
      </c>
      <c r="C732" s="5">
        <v>151</v>
      </c>
      <c r="D732" s="5">
        <v>151</v>
      </c>
    </row>
    <row r="733" spans="1:4">
      <c r="A733" s="5"/>
      <c r="B733" s="5">
        <v>2</v>
      </c>
      <c r="C733" s="5">
        <v>162</v>
      </c>
      <c r="D733" s="5">
        <v>162</v>
      </c>
    </row>
    <row r="734" spans="1:4">
      <c r="A734" s="5"/>
      <c r="B734" s="5">
        <v>3</v>
      </c>
      <c r="C734" s="5">
        <v>243</v>
      </c>
      <c r="D734" s="5">
        <v>243</v>
      </c>
    </row>
    <row r="735" spans="1:4">
      <c r="A735" s="5"/>
      <c r="B735" s="5">
        <v>4</v>
      </c>
      <c r="C735" s="5">
        <v>309</v>
      </c>
      <c r="D735" s="5">
        <v>309</v>
      </c>
    </row>
    <row r="736" spans="1:4">
      <c r="A736" s="5"/>
      <c r="B736" s="5">
        <v>5</v>
      </c>
      <c r="C736" s="5">
        <v>323</v>
      </c>
      <c r="D736" s="5">
        <v>323</v>
      </c>
    </row>
    <row r="737" spans="1:4">
      <c r="A737" s="5"/>
      <c r="B737" s="5"/>
      <c r="C737" s="5"/>
      <c r="D737" s="5">
        <v>323</v>
      </c>
    </row>
    <row r="738" spans="1:4">
      <c r="A738" s="5"/>
      <c r="B738" s="5"/>
      <c r="C738" s="5"/>
      <c r="D738" s="5">
        <v>323</v>
      </c>
    </row>
    <row r="739" spans="1:4">
      <c r="A739" s="5"/>
      <c r="B739" s="5">
        <v>6</v>
      </c>
      <c r="C739" s="5">
        <v>1237</v>
      </c>
      <c r="D739" s="5">
        <v>1237</v>
      </c>
    </row>
    <row r="740" spans="1:4">
      <c r="A740" s="5"/>
      <c r="B740" s="5"/>
      <c r="C740" s="5"/>
      <c r="D740" s="5">
        <v>1237</v>
      </c>
    </row>
    <row r="741" spans="1:4">
      <c r="A741" s="5"/>
      <c r="B741" s="5"/>
      <c r="C741" s="5"/>
      <c r="D741" s="5">
        <v>1237</v>
      </c>
    </row>
    <row r="742" spans="1:4">
      <c r="A742" s="5">
        <v>2007</v>
      </c>
      <c r="B742" s="5">
        <v>7</v>
      </c>
      <c r="C742" s="5">
        <v>1320</v>
      </c>
      <c r="D742" s="5">
        <v>1320</v>
      </c>
    </row>
    <row r="743" spans="1:4">
      <c r="A743" s="5"/>
      <c r="B743" s="5"/>
      <c r="C743" s="5"/>
      <c r="D743" s="5">
        <v>1320</v>
      </c>
    </row>
    <row r="744" spans="1:4">
      <c r="A744" s="5"/>
      <c r="B744" s="5"/>
      <c r="C744" s="5"/>
      <c r="D744" s="5">
        <v>1320</v>
      </c>
    </row>
    <row r="745" spans="1:4">
      <c r="A745" s="5"/>
      <c r="B745" s="5">
        <v>8</v>
      </c>
      <c r="C745" s="5">
        <v>1000</v>
      </c>
      <c r="D745" s="5">
        <v>1000</v>
      </c>
    </row>
    <row r="746" spans="1:4">
      <c r="A746" s="5"/>
      <c r="B746" s="5"/>
      <c r="C746" s="5"/>
      <c r="D746" s="5">
        <v>1000</v>
      </c>
    </row>
    <row r="747" spans="1:4">
      <c r="A747" s="5"/>
      <c r="B747" s="5"/>
      <c r="C747" s="5"/>
      <c r="D747" s="5">
        <v>1000</v>
      </c>
    </row>
    <row r="748" spans="1:4">
      <c r="A748" s="5"/>
      <c r="B748" s="5">
        <v>9</v>
      </c>
      <c r="C748" s="5">
        <v>892</v>
      </c>
      <c r="D748" s="5">
        <v>892</v>
      </c>
    </row>
    <row r="749" spans="1:4">
      <c r="A749" s="5"/>
      <c r="B749" s="5">
        <v>10</v>
      </c>
      <c r="C749" s="5">
        <v>743</v>
      </c>
      <c r="D749" s="5">
        <v>743</v>
      </c>
    </row>
    <row r="750" spans="1:4">
      <c r="A750" s="5"/>
      <c r="B750" s="5">
        <v>11</v>
      </c>
      <c r="C750" s="5">
        <v>416</v>
      </c>
      <c r="D750" s="5">
        <v>416</v>
      </c>
    </row>
    <row r="751" spans="1:4">
      <c r="A751" s="5"/>
      <c r="B751" s="5">
        <v>12</v>
      </c>
      <c r="C751" s="5">
        <v>224</v>
      </c>
      <c r="D751" s="5">
        <v>224</v>
      </c>
    </row>
    <row r="752" spans="1:4">
      <c r="A752" s="5"/>
      <c r="B752" s="5">
        <v>1</v>
      </c>
      <c r="C752" s="5">
        <v>184</v>
      </c>
      <c r="D752" s="5">
        <v>184</v>
      </c>
    </row>
    <row r="753" spans="1:4">
      <c r="A753" s="5"/>
      <c r="B753" s="5">
        <v>2</v>
      </c>
      <c r="C753" s="5">
        <v>171</v>
      </c>
      <c r="D753" s="5">
        <v>171</v>
      </c>
    </row>
    <row r="754" spans="1:4">
      <c r="A754" s="5"/>
      <c r="B754" s="5">
        <v>3</v>
      </c>
      <c r="C754" s="5">
        <v>241</v>
      </c>
      <c r="D754" s="5">
        <v>241</v>
      </c>
    </row>
    <row r="755" spans="1:4">
      <c r="A755" s="5"/>
      <c r="B755" s="5">
        <v>4</v>
      </c>
      <c r="C755" s="5">
        <v>363</v>
      </c>
      <c r="D755" s="5">
        <v>363</v>
      </c>
    </row>
    <row r="756" spans="1:4">
      <c r="A756" s="5"/>
      <c r="B756" s="5">
        <v>5</v>
      </c>
      <c r="C756" s="5">
        <v>358</v>
      </c>
      <c r="D756" s="5">
        <v>358</v>
      </c>
    </row>
    <row r="757" spans="1:4">
      <c r="A757" s="5"/>
      <c r="B757" s="5"/>
      <c r="C757" s="5"/>
      <c r="D757" s="5">
        <v>358</v>
      </c>
    </row>
    <row r="758" spans="1:4">
      <c r="A758" s="5"/>
      <c r="B758" s="5"/>
      <c r="C758" s="5"/>
      <c r="D758" s="5">
        <v>358</v>
      </c>
    </row>
    <row r="759" spans="1:4">
      <c r="A759" s="5"/>
      <c r="B759" s="5">
        <v>6</v>
      </c>
      <c r="C759" s="5">
        <v>457</v>
      </c>
      <c r="D759" s="5">
        <v>457</v>
      </c>
    </row>
    <row r="760" spans="1:4">
      <c r="A760" s="5"/>
      <c r="B760" s="5"/>
      <c r="C760" s="5"/>
      <c r="D760" s="5">
        <v>457</v>
      </c>
    </row>
    <row r="761" spans="1:4">
      <c r="A761" s="5"/>
      <c r="B761" s="5"/>
      <c r="C761" s="5"/>
      <c r="D761" s="5">
        <v>457</v>
      </c>
    </row>
    <row r="762" spans="1:4">
      <c r="A762" s="5">
        <v>2008</v>
      </c>
      <c r="B762" s="5">
        <v>7</v>
      </c>
      <c r="C762" s="5">
        <v>862</v>
      </c>
      <c r="D762" s="5">
        <v>862</v>
      </c>
    </row>
    <row r="763" spans="1:4">
      <c r="A763" s="5"/>
      <c r="B763" s="5"/>
      <c r="C763" s="5"/>
      <c r="D763" s="5">
        <v>862</v>
      </c>
    </row>
    <row r="764" spans="1:4">
      <c r="A764" s="5"/>
      <c r="B764" s="5"/>
      <c r="C764" s="5"/>
      <c r="D764" s="5">
        <v>862</v>
      </c>
    </row>
    <row r="765" spans="1:4">
      <c r="A765" s="5"/>
      <c r="B765" s="5">
        <v>8</v>
      </c>
      <c r="C765" s="5">
        <v>869</v>
      </c>
      <c r="D765" s="5">
        <v>869</v>
      </c>
    </row>
    <row r="766" spans="1:4">
      <c r="A766" s="5"/>
      <c r="B766" s="5"/>
      <c r="C766" s="5"/>
      <c r="D766" s="5">
        <v>869</v>
      </c>
    </row>
    <row r="767" spans="1:4">
      <c r="A767" s="5"/>
      <c r="B767" s="5"/>
      <c r="C767" s="5"/>
      <c r="D767" s="5">
        <v>869</v>
      </c>
    </row>
    <row r="768" spans="1:4">
      <c r="A768" s="5"/>
      <c r="B768" s="5">
        <v>9</v>
      </c>
      <c r="C768" s="5">
        <v>980</v>
      </c>
      <c r="D768" s="5">
        <v>980</v>
      </c>
    </row>
    <row r="769" spans="1:4">
      <c r="A769" s="5"/>
      <c r="B769" s="5">
        <v>10</v>
      </c>
      <c r="C769" s="5">
        <v>1010</v>
      </c>
      <c r="D769" s="5">
        <v>1010</v>
      </c>
    </row>
    <row r="770" spans="1:4">
      <c r="A770" s="5"/>
      <c r="B770" s="5">
        <v>11</v>
      </c>
      <c r="C770" s="5">
        <v>477</v>
      </c>
      <c r="D770" s="5">
        <v>477</v>
      </c>
    </row>
    <row r="771" spans="1:4">
      <c r="A771" s="5"/>
      <c r="B771" s="5">
        <v>12</v>
      </c>
      <c r="C771" s="5">
        <v>228</v>
      </c>
      <c r="D771" s="5">
        <v>228</v>
      </c>
    </row>
    <row r="772" spans="1:4">
      <c r="A772" s="5"/>
      <c r="B772" s="5">
        <v>1</v>
      </c>
      <c r="C772" s="5">
        <v>172</v>
      </c>
      <c r="D772" s="5">
        <v>172</v>
      </c>
    </row>
    <row r="773" spans="1:4">
      <c r="A773" s="5"/>
      <c r="B773" s="5">
        <v>2</v>
      </c>
      <c r="C773" s="5">
        <v>201</v>
      </c>
      <c r="D773" s="5">
        <v>201</v>
      </c>
    </row>
    <row r="774" spans="1:4">
      <c r="A774" s="5"/>
      <c r="B774" s="5">
        <v>3</v>
      </c>
      <c r="C774" s="5">
        <v>243</v>
      </c>
      <c r="D774" s="5">
        <v>243</v>
      </c>
    </row>
    <row r="775" spans="1:4">
      <c r="A775" s="5"/>
      <c r="B775" s="5">
        <v>4</v>
      </c>
      <c r="C775" s="5">
        <v>393</v>
      </c>
      <c r="D775" s="5">
        <v>393</v>
      </c>
    </row>
    <row r="776" spans="1:4">
      <c r="A776" s="5"/>
      <c r="B776" s="5">
        <v>5</v>
      </c>
      <c r="C776" s="5">
        <v>611</v>
      </c>
      <c r="D776" s="5">
        <v>611</v>
      </c>
    </row>
    <row r="777" spans="1:4">
      <c r="A777" s="5"/>
      <c r="B777" s="5"/>
      <c r="C777" s="5"/>
      <c r="D777" s="5">
        <v>611</v>
      </c>
    </row>
    <row r="778" spans="1:4">
      <c r="A778" s="5"/>
      <c r="B778" s="5"/>
      <c r="C778" s="5"/>
      <c r="D778" s="5">
        <v>611</v>
      </c>
    </row>
    <row r="779" spans="1:4">
      <c r="A779" s="5"/>
      <c r="B779" s="5">
        <v>6</v>
      </c>
      <c r="C779" s="5">
        <v>952.9</v>
      </c>
      <c r="D779" s="5">
        <v>952.9</v>
      </c>
    </row>
    <row r="780" spans="1:4">
      <c r="A780" s="5"/>
      <c r="B780" s="5"/>
      <c r="C780" s="5"/>
      <c r="D780" s="5">
        <v>952.9</v>
      </c>
    </row>
    <row r="781" spans="1:4">
      <c r="A781" s="5"/>
      <c r="B781" s="5"/>
      <c r="C781" s="5"/>
      <c r="D781" s="5">
        <v>952.9</v>
      </c>
    </row>
    <row r="782" spans="1:4">
      <c r="A782" s="5">
        <v>2009</v>
      </c>
      <c r="B782" s="5">
        <v>7</v>
      </c>
      <c r="C782" s="5">
        <v>1536</v>
      </c>
      <c r="D782" s="5">
        <v>1536</v>
      </c>
    </row>
    <row r="783" spans="1:4">
      <c r="A783" s="5"/>
      <c r="B783" s="5"/>
      <c r="C783" s="5"/>
      <c r="D783" s="5">
        <v>1536</v>
      </c>
    </row>
    <row r="784" spans="1:4">
      <c r="A784" s="5"/>
      <c r="B784" s="5"/>
      <c r="C784" s="5"/>
      <c r="D784" s="5">
        <v>1536</v>
      </c>
    </row>
    <row r="785" spans="1:4">
      <c r="A785" s="5"/>
      <c r="B785" s="5">
        <v>8</v>
      </c>
      <c r="C785" s="5">
        <v>1420</v>
      </c>
      <c r="D785" s="5">
        <v>1420</v>
      </c>
    </row>
    <row r="786" spans="1:4">
      <c r="A786" s="5"/>
      <c r="B786" s="5"/>
      <c r="C786" s="5"/>
      <c r="D786" s="5">
        <v>1420</v>
      </c>
    </row>
    <row r="787" spans="1:4">
      <c r="A787" s="5"/>
      <c r="B787" s="5"/>
      <c r="C787" s="5"/>
      <c r="D787" s="5">
        <v>1420</v>
      </c>
    </row>
    <row r="788" spans="1:4">
      <c r="A788" s="5"/>
      <c r="B788" s="5">
        <v>9</v>
      </c>
      <c r="C788" s="5">
        <v>1460</v>
      </c>
      <c r="D788" s="5">
        <v>1460</v>
      </c>
    </row>
    <row r="789" spans="1:4">
      <c r="A789" s="5"/>
      <c r="B789" s="5">
        <v>10</v>
      </c>
      <c r="C789" s="5">
        <v>1100</v>
      </c>
      <c r="D789" s="5">
        <v>1100</v>
      </c>
    </row>
    <row r="790" spans="1:4">
      <c r="A790" s="5"/>
      <c r="B790" s="5">
        <v>11</v>
      </c>
      <c r="C790" s="5">
        <v>568.29999999999995</v>
      </c>
      <c r="D790" s="5">
        <v>568.29999999999995</v>
      </c>
    </row>
    <row r="791" spans="1:4">
      <c r="A791" s="5"/>
      <c r="B791" s="5">
        <v>12</v>
      </c>
      <c r="C791" s="5">
        <v>299</v>
      </c>
      <c r="D791" s="5">
        <v>299</v>
      </c>
    </row>
    <row r="792" spans="1:4">
      <c r="A792" s="5"/>
      <c r="B792" s="5">
        <v>1</v>
      </c>
      <c r="C792" s="5">
        <v>216</v>
      </c>
      <c r="D792" s="5">
        <v>216</v>
      </c>
    </row>
    <row r="793" spans="1:4">
      <c r="A793" s="5"/>
      <c r="B793" s="5">
        <v>2</v>
      </c>
      <c r="C793" s="5">
        <v>224</v>
      </c>
      <c r="D793" s="5">
        <v>224</v>
      </c>
    </row>
    <row r="794" spans="1:4">
      <c r="A794" s="5"/>
      <c r="B794" s="5">
        <v>3</v>
      </c>
      <c r="C794" s="5">
        <v>265</v>
      </c>
      <c r="D794" s="5">
        <v>265</v>
      </c>
    </row>
    <row r="795" spans="1:4">
      <c r="A795" s="5"/>
      <c r="B795" s="5">
        <v>4</v>
      </c>
      <c r="C795" s="5">
        <v>310</v>
      </c>
      <c r="D795" s="5">
        <v>310</v>
      </c>
    </row>
    <row r="796" spans="1:4">
      <c r="A796" s="5"/>
      <c r="B796" s="5">
        <v>5</v>
      </c>
      <c r="C796" s="5">
        <v>371</v>
      </c>
      <c r="D796" s="5">
        <v>371</v>
      </c>
    </row>
    <row r="797" spans="1:4">
      <c r="A797" s="5"/>
      <c r="B797" s="5"/>
      <c r="C797" s="5"/>
      <c r="D797" s="5">
        <v>371</v>
      </c>
    </row>
    <row r="798" spans="1:4">
      <c r="A798" s="5"/>
      <c r="B798" s="5"/>
      <c r="C798" s="5"/>
      <c r="D798" s="5">
        <v>371</v>
      </c>
    </row>
    <row r="799" spans="1:4">
      <c r="A799" s="5"/>
      <c r="B799" s="5">
        <v>6</v>
      </c>
      <c r="C799" s="5">
        <v>958</v>
      </c>
      <c r="D799" s="5">
        <v>958</v>
      </c>
    </row>
    <row r="800" spans="1:4">
      <c r="A800" s="5"/>
      <c r="B800" s="5"/>
      <c r="C800" s="5"/>
      <c r="D800" s="5">
        <v>958</v>
      </c>
    </row>
    <row r="801" spans="1:4">
      <c r="A801" s="5"/>
      <c r="B801" s="5"/>
      <c r="C801" s="5"/>
      <c r="D801" s="5">
        <v>958</v>
      </c>
    </row>
    <row r="802" spans="1:4">
      <c r="A802" s="5">
        <v>2010</v>
      </c>
      <c r="B802" s="5">
        <v>7</v>
      </c>
      <c r="C802" s="15">
        <v>1994</v>
      </c>
      <c r="D802" s="5">
        <v>1994</v>
      </c>
    </row>
    <row r="803" spans="1:4">
      <c r="A803" s="5"/>
      <c r="B803" s="5"/>
      <c r="C803" s="15"/>
      <c r="D803" s="5">
        <v>1994</v>
      </c>
    </row>
    <row r="804" spans="1:4">
      <c r="A804" s="5"/>
      <c r="B804" s="5"/>
      <c r="C804" s="15"/>
      <c r="D804" s="5">
        <v>1994</v>
      </c>
    </row>
    <row r="805" spans="1:4">
      <c r="A805" s="5"/>
      <c r="B805" s="5">
        <v>8</v>
      </c>
      <c r="C805" s="15">
        <v>635</v>
      </c>
      <c r="D805" s="5">
        <v>635</v>
      </c>
    </row>
    <row r="806" spans="1:4">
      <c r="A806" s="5"/>
      <c r="B806" s="5"/>
      <c r="C806" s="15"/>
      <c r="D806" s="5">
        <v>635</v>
      </c>
    </row>
    <row r="807" spans="1:4">
      <c r="A807" s="5"/>
      <c r="B807" s="5"/>
      <c r="C807" s="15"/>
      <c r="D807" s="5">
        <v>635</v>
      </c>
    </row>
    <row r="808" spans="1:4">
      <c r="A808" s="5"/>
      <c r="B808" s="5">
        <v>9</v>
      </c>
      <c r="C808" s="15">
        <v>888</v>
      </c>
      <c r="D808" s="5">
        <v>888</v>
      </c>
    </row>
    <row r="809" spans="1:4">
      <c r="A809" s="5"/>
      <c r="B809" s="5">
        <v>10</v>
      </c>
      <c r="C809" s="15">
        <v>553</v>
      </c>
      <c r="D809" s="5">
        <v>553</v>
      </c>
    </row>
    <row r="810" spans="1:4">
      <c r="A810" s="5"/>
      <c r="B810" s="5">
        <v>11</v>
      </c>
      <c r="C810" s="15">
        <v>416</v>
      </c>
      <c r="D810" s="15">
        <v>416</v>
      </c>
    </row>
    <row r="811" spans="1:4">
      <c r="A811" s="5"/>
      <c r="B811" s="5">
        <v>12</v>
      </c>
      <c r="C811" s="15">
        <v>207</v>
      </c>
      <c r="D811" s="15">
        <v>207</v>
      </c>
    </row>
    <row r="812" spans="1:4">
      <c r="A812" s="5"/>
      <c r="B812" s="5">
        <v>1</v>
      </c>
      <c r="C812" s="14">
        <v>178.54838709677401</v>
      </c>
      <c r="D812" s="14">
        <v>178.54838709677401</v>
      </c>
    </row>
    <row r="813" spans="1:4">
      <c r="A813" s="5"/>
      <c r="B813" s="5">
        <v>2</v>
      </c>
      <c r="C813" s="14">
        <v>157.5</v>
      </c>
      <c r="D813" s="14">
        <v>157.5</v>
      </c>
    </row>
    <row r="814" spans="1:4">
      <c r="A814" s="5"/>
      <c r="B814" s="5">
        <v>3</v>
      </c>
      <c r="C814" s="14">
        <v>208.64516129032299</v>
      </c>
      <c r="D814" s="14">
        <v>208.64516129032299</v>
      </c>
    </row>
    <row r="815" spans="1:4">
      <c r="A815" s="5"/>
      <c r="B815" s="5">
        <v>4</v>
      </c>
      <c r="C815" s="14">
        <v>383.8</v>
      </c>
      <c r="D815" s="14">
        <v>383.8</v>
      </c>
    </row>
    <row r="816" spans="1:4">
      <c r="A816" s="5"/>
      <c r="B816" s="5">
        <v>5</v>
      </c>
      <c r="C816" s="14">
        <v>459.677419354839</v>
      </c>
      <c r="D816" s="14">
        <v>459.677419354839</v>
      </c>
    </row>
    <row r="817" spans="1:4">
      <c r="A817" s="5"/>
      <c r="B817" s="5"/>
      <c r="C817" s="14"/>
      <c r="D817" s="14">
        <v>459.677419354839</v>
      </c>
    </row>
    <row r="818" spans="1:4">
      <c r="A818" s="5"/>
      <c r="B818" s="5"/>
      <c r="C818" s="14"/>
      <c r="D818" s="14">
        <v>459.677419354839</v>
      </c>
    </row>
    <row r="819" spans="1:4">
      <c r="A819" s="5"/>
      <c r="B819" s="5">
        <v>6</v>
      </c>
      <c r="C819" s="14">
        <v>1166.86666666667</v>
      </c>
      <c r="D819" s="14">
        <v>1166.86666666667</v>
      </c>
    </row>
    <row r="820" spans="1:4">
      <c r="A820" s="5"/>
      <c r="B820" s="5"/>
      <c r="C820" s="14"/>
      <c r="D820" s="14">
        <v>1166.86666666667</v>
      </c>
    </row>
    <row r="821" spans="1:4">
      <c r="A821" s="5"/>
      <c r="B821" s="5"/>
      <c r="C821" s="14"/>
      <c r="D821" s="14">
        <v>1166.86666666667</v>
      </c>
    </row>
    <row r="822" spans="1:4">
      <c r="A822" s="5">
        <v>2011</v>
      </c>
      <c r="B822" s="5">
        <v>7</v>
      </c>
      <c r="C822" s="14">
        <v>1570.8064516129</v>
      </c>
      <c r="D822" s="14">
        <v>1570.8064516129</v>
      </c>
    </row>
    <row r="823" spans="1:4">
      <c r="A823" s="5"/>
      <c r="B823" s="5"/>
      <c r="C823" s="14"/>
      <c r="D823" s="14">
        <v>1570.8064516129</v>
      </c>
    </row>
    <row r="824" spans="1:4">
      <c r="A824" s="5"/>
      <c r="B824" s="5"/>
      <c r="C824" s="14"/>
      <c r="D824" s="14">
        <v>1570.8064516129</v>
      </c>
    </row>
    <row r="825" spans="1:4">
      <c r="A825" s="5"/>
      <c r="B825" s="5">
        <v>8</v>
      </c>
      <c r="C825" s="14">
        <v>896.74193548387098</v>
      </c>
      <c r="D825" s="14">
        <v>896.74193548387098</v>
      </c>
    </row>
    <row r="826" spans="1:4">
      <c r="A826" s="5"/>
      <c r="B826" s="5"/>
      <c r="C826" s="14"/>
      <c r="D826" s="14">
        <v>896.74193548387098</v>
      </c>
    </row>
    <row r="827" spans="1:4">
      <c r="A827" s="5"/>
      <c r="B827" s="5"/>
      <c r="C827" s="14"/>
      <c r="D827" s="14">
        <v>896.74193548387098</v>
      </c>
    </row>
    <row r="828" spans="1:4">
      <c r="A828" s="5"/>
      <c r="B828" s="5">
        <v>9</v>
      </c>
      <c r="C828" s="14">
        <v>985.13333333333298</v>
      </c>
      <c r="D828" s="14">
        <v>985.13333333333298</v>
      </c>
    </row>
    <row r="829" spans="1:4">
      <c r="A829" s="5"/>
      <c r="B829" s="5">
        <v>10</v>
      </c>
      <c r="C829" s="14">
        <v>1019.87096774194</v>
      </c>
      <c r="D829" s="14">
        <v>1019.87096774194</v>
      </c>
    </row>
    <row r="830" spans="1:4">
      <c r="A830" s="5"/>
      <c r="B830" s="5">
        <v>11</v>
      </c>
      <c r="C830" s="14">
        <v>603.86666666666702</v>
      </c>
      <c r="D830" s="14">
        <v>603.86666666666702</v>
      </c>
    </row>
    <row r="831" spans="1:4">
      <c r="A831" s="5"/>
      <c r="B831" s="5">
        <v>12</v>
      </c>
      <c r="C831" s="14">
        <v>325.96774193548401</v>
      </c>
      <c r="D831" s="14">
        <v>325.96774193548401</v>
      </c>
    </row>
    <row r="832" spans="1:4">
      <c r="A832" s="5"/>
      <c r="B832" s="5">
        <v>1</v>
      </c>
      <c r="C832" s="14">
        <v>237.96774193548401</v>
      </c>
      <c r="D832" s="14">
        <v>237.96774193548401</v>
      </c>
    </row>
    <row r="833" spans="1:4">
      <c r="A833" s="5"/>
      <c r="B833" s="5">
        <v>2</v>
      </c>
      <c r="C833" s="14">
        <v>237.79310344827601</v>
      </c>
      <c r="D833" s="14">
        <v>237.79310344827601</v>
      </c>
    </row>
    <row r="834" spans="1:4">
      <c r="A834" s="5"/>
      <c r="B834" s="5">
        <v>3</v>
      </c>
      <c r="C834" s="14">
        <v>300.77419354838702</v>
      </c>
      <c r="D834" s="14">
        <v>300.77419354838702</v>
      </c>
    </row>
    <row r="835" spans="1:4">
      <c r="A835" s="5"/>
      <c r="B835" s="5">
        <v>4</v>
      </c>
      <c r="C835" s="14">
        <v>521.70000000000005</v>
      </c>
      <c r="D835" s="14">
        <v>521.70000000000005</v>
      </c>
    </row>
    <row r="836" spans="1:4">
      <c r="A836" s="5"/>
      <c r="B836" s="5">
        <v>5</v>
      </c>
      <c r="C836" s="14">
        <v>822.70967741935499</v>
      </c>
      <c r="D836" s="14">
        <v>822.70967741935499</v>
      </c>
    </row>
    <row r="837" spans="1:4">
      <c r="A837" s="5"/>
      <c r="B837" s="5"/>
      <c r="C837" s="14"/>
      <c r="D837" s="14">
        <v>822.70967741935499</v>
      </c>
    </row>
    <row r="838" spans="1:4">
      <c r="A838" s="5"/>
      <c r="B838" s="5"/>
      <c r="C838" s="14"/>
      <c r="D838" s="14">
        <v>822.70967741935499</v>
      </c>
    </row>
    <row r="839" spans="1:4">
      <c r="A839" s="5"/>
      <c r="B839" s="5">
        <v>6</v>
      </c>
      <c r="C839" s="14">
        <v>1072</v>
      </c>
      <c r="D839" s="14">
        <v>1072</v>
      </c>
    </row>
    <row r="840" spans="1:4">
      <c r="A840" s="5"/>
      <c r="B840" s="5"/>
      <c r="C840" s="14"/>
      <c r="D840" s="14">
        <v>1072</v>
      </c>
    </row>
    <row r="841" spans="1:4">
      <c r="A841" s="5"/>
      <c r="B841" s="5"/>
      <c r="C841" s="14"/>
      <c r="D841" s="14">
        <v>1072</v>
      </c>
    </row>
    <row r="842" spans="1:4">
      <c r="A842" s="5">
        <v>2012</v>
      </c>
      <c r="B842" s="5">
        <v>7</v>
      </c>
      <c r="C842" s="14">
        <v>2577.7419354838698</v>
      </c>
      <c r="D842" s="14">
        <v>2577.7419354838698</v>
      </c>
    </row>
    <row r="843" spans="1:4">
      <c r="A843" s="5"/>
      <c r="B843" s="5"/>
      <c r="C843" s="14"/>
      <c r="D843" s="14">
        <v>2577.7419354838698</v>
      </c>
    </row>
    <row r="844" spans="1:4">
      <c r="A844" s="5"/>
      <c r="B844" s="5"/>
      <c r="C844" s="14"/>
      <c r="D844" s="14">
        <v>2577.7419354838698</v>
      </c>
    </row>
    <row r="845" spans="1:4">
      <c r="A845" s="5"/>
      <c r="B845" s="5">
        <v>8</v>
      </c>
      <c r="C845" s="14">
        <v>2275.4838709677401</v>
      </c>
      <c r="D845" s="14">
        <v>2275.4838709677401</v>
      </c>
    </row>
    <row r="846" spans="1:4">
      <c r="A846" s="5"/>
      <c r="B846" s="5"/>
      <c r="C846" s="14"/>
      <c r="D846" s="14">
        <v>2275.4838709677401</v>
      </c>
    </row>
    <row r="847" spans="1:4">
      <c r="A847" s="5"/>
      <c r="B847" s="5"/>
      <c r="C847" s="14"/>
      <c r="D847" s="14">
        <v>2275.4838709677401</v>
      </c>
    </row>
    <row r="848" spans="1:4">
      <c r="A848" s="5"/>
      <c r="B848" s="5">
        <v>9</v>
      </c>
      <c r="C848" s="14">
        <v>1065.3333333333301</v>
      </c>
      <c r="D848" s="14">
        <v>1065.3333333333301</v>
      </c>
    </row>
    <row r="849" spans="1:4">
      <c r="A849" s="5"/>
      <c r="B849" s="5">
        <v>10</v>
      </c>
      <c r="C849" s="14">
        <v>893.77419354838696</v>
      </c>
      <c r="D849" s="14">
        <v>893.77419354838696</v>
      </c>
    </row>
    <row r="850" spans="1:4">
      <c r="A850" s="5"/>
      <c r="B850" s="5">
        <v>11</v>
      </c>
      <c r="C850" s="14">
        <v>472.96666666666698</v>
      </c>
      <c r="D850" s="14">
        <v>472.96666666666698</v>
      </c>
    </row>
    <row r="851" spans="1:4">
      <c r="A851" s="5"/>
      <c r="B851" s="5">
        <v>12</v>
      </c>
      <c r="C851" s="14">
        <v>243.51612903225799</v>
      </c>
      <c r="D851" s="14">
        <v>243.51612903225799</v>
      </c>
    </row>
    <row r="852" spans="1:4">
      <c r="A852" s="5"/>
      <c r="B852" s="5">
        <v>1</v>
      </c>
      <c r="C852" s="14">
        <v>243.870967741935</v>
      </c>
      <c r="D852" s="14">
        <v>243.870967741935</v>
      </c>
    </row>
    <row r="853" spans="1:4">
      <c r="A853" s="5"/>
      <c r="B853" s="5">
        <v>2</v>
      </c>
      <c r="C853" s="14">
        <v>264.607142857143</v>
      </c>
      <c r="D853" s="14">
        <v>264.607142857143</v>
      </c>
    </row>
    <row r="854" spans="1:4">
      <c r="A854" s="5"/>
      <c r="B854" s="5">
        <v>3</v>
      </c>
      <c r="C854" s="14">
        <v>326.41935483870998</v>
      </c>
      <c r="D854" s="14">
        <v>326.41935483870998</v>
      </c>
    </row>
    <row r="855" spans="1:4">
      <c r="A855" s="5"/>
      <c r="B855" s="5">
        <v>4</v>
      </c>
      <c r="C855" s="14">
        <v>312.26666666666699</v>
      </c>
      <c r="D855" s="14">
        <v>312.26666666666699</v>
      </c>
    </row>
    <row r="856" spans="1:4">
      <c r="A856" s="5"/>
      <c r="B856" s="5">
        <v>5</v>
      </c>
      <c r="C856" s="14">
        <v>663.77419354838696</v>
      </c>
      <c r="D856" s="14">
        <v>663.77419354838696</v>
      </c>
    </row>
    <row r="857" spans="1:4">
      <c r="A857" s="5"/>
      <c r="B857" s="5"/>
      <c r="C857" s="14"/>
      <c r="D857" s="14">
        <v>663.77419354838696</v>
      </c>
    </row>
    <row r="858" spans="1:4">
      <c r="A858" s="5"/>
      <c r="B858" s="5"/>
      <c r="C858" s="14"/>
      <c r="D858" s="14">
        <v>663.77419354838696</v>
      </c>
    </row>
    <row r="859" spans="1:4">
      <c r="A859" s="5"/>
      <c r="B859" s="5">
        <v>6</v>
      </c>
      <c r="C859" s="14">
        <v>886.6</v>
      </c>
      <c r="D859" s="14">
        <v>886.6</v>
      </c>
    </row>
    <row r="860" spans="1:4">
      <c r="A860" s="5"/>
      <c r="B860" s="5"/>
      <c r="C860" s="14"/>
      <c r="D860" s="14">
        <v>886.6</v>
      </c>
    </row>
    <row r="861" spans="1:4">
      <c r="A861" s="5"/>
      <c r="B861" s="5"/>
      <c r="C861" s="14"/>
      <c r="D861" s="14">
        <v>886.6</v>
      </c>
    </row>
    <row r="862" spans="1:4">
      <c r="A862" s="5">
        <v>2013</v>
      </c>
      <c r="B862" s="5">
        <v>7</v>
      </c>
      <c r="C862" s="14">
        <v>1586.7419354838701</v>
      </c>
      <c r="D862" s="14">
        <v>1586.7419354838701</v>
      </c>
    </row>
    <row r="863" spans="1:4">
      <c r="A863" s="5"/>
      <c r="B863" s="5"/>
      <c r="C863" s="14"/>
      <c r="D863" s="14">
        <v>1586.7419354838701</v>
      </c>
    </row>
    <row r="864" spans="1:4">
      <c r="A864" s="5"/>
      <c r="B864" s="5"/>
      <c r="C864" s="14"/>
      <c r="D864" s="14">
        <v>1586.7419354838701</v>
      </c>
    </row>
    <row r="865" spans="1:4">
      <c r="A865" s="5"/>
      <c r="B865" s="5">
        <v>8</v>
      </c>
      <c r="C865" s="14">
        <v>1193.5161290322601</v>
      </c>
      <c r="D865" s="14">
        <v>1193.5161290322601</v>
      </c>
    </row>
    <row r="866" spans="1:4">
      <c r="A866" s="5"/>
      <c r="B866" s="5"/>
      <c r="C866" s="14"/>
      <c r="D866" s="14">
        <v>1193.5161290322601</v>
      </c>
    </row>
    <row r="867" spans="1:4">
      <c r="A867" s="5"/>
      <c r="B867" s="5"/>
      <c r="C867" s="14"/>
      <c r="D867" s="14">
        <v>1193.5161290322601</v>
      </c>
    </row>
    <row r="868" spans="1:4">
      <c r="A868" s="5"/>
      <c r="B868" s="5">
        <v>9</v>
      </c>
      <c r="C868" s="14">
        <v>732.36666666666702</v>
      </c>
      <c r="D868" s="14">
        <v>732.36666666666702</v>
      </c>
    </row>
    <row r="869" spans="1:4">
      <c r="A869" s="5"/>
      <c r="B869" s="5">
        <v>10</v>
      </c>
      <c r="C869" s="14">
        <v>614.64516129032302</v>
      </c>
      <c r="D869" s="14">
        <v>614.64516129032302</v>
      </c>
    </row>
    <row r="870" spans="1:4">
      <c r="A870" s="5"/>
      <c r="B870" s="5">
        <v>11</v>
      </c>
      <c r="C870" s="14">
        <v>357.96666666666698</v>
      </c>
      <c r="D870" s="14">
        <v>357.96666666666698</v>
      </c>
    </row>
    <row r="871" spans="1:4">
      <c r="A871" s="5"/>
      <c r="B871" s="5">
        <v>12</v>
      </c>
      <c r="C871" s="14">
        <v>183.70967741935499</v>
      </c>
      <c r="D871" s="14">
        <v>183.70967741935499</v>
      </c>
    </row>
    <row r="872" spans="1:4">
      <c r="A872" s="5"/>
      <c r="B872" s="5">
        <v>1</v>
      </c>
      <c r="C872" s="14">
        <v>153.51612903225799</v>
      </c>
      <c r="D872" s="14">
        <v>153.51612903225799</v>
      </c>
    </row>
    <row r="873" spans="1:4">
      <c r="A873" s="5"/>
      <c r="B873" s="5">
        <v>2</v>
      </c>
      <c r="C873" s="14">
        <v>154.53571428571399</v>
      </c>
      <c r="D873" s="14">
        <v>154.53571428571399</v>
      </c>
    </row>
    <row r="874" spans="1:4">
      <c r="A874" s="5"/>
      <c r="B874" s="5">
        <v>3</v>
      </c>
      <c r="C874" s="14">
        <v>217.96774193548401</v>
      </c>
      <c r="D874" s="14">
        <v>217.96774193548401</v>
      </c>
    </row>
    <row r="875" spans="1:4">
      <c r="A875" s="5"/>
      <c r="B875" s="5">
        <v>4</v>
      </c>
      <c r="C875" s="14">
        <v>340.03333333333302</v>
      </c>
      <c r="D875" s="14">
        <v>340.03333333333302</v>
      </c>
    </row>
    <row r="876" spans="1:4">
      <c r="A876" s="5"/>
      <c r="B876" s="5">
        <v>5</v>
      </c>
      <c r="C876" s="14">
        <v>431.74193548387098</v>
      </c>
      <c r="D876" s="14">
        <v>431.74193548387098</v>
      </c>
    </row>
    <row r="877" spans="1:4">
      <c r="A877" s="5"/>
      <c r="B877" s="5"/>
      <c r="C877" s="14"/>
      <c r="D877" s="14">
        <v>431.74193548387098</v>
      </c>
    </row>
    <row r="878" spans="1:4">
      <c r="A878" s="5"/>
      <c r="B878" s="5"/>
      <c r="C878" s="14"/>
      <c r="D878" s="14">
        <v>431.74193548387098</v>
      </c>
    </row>
    <row r="879" spans="1:4">
      <c r="A879" s="5"/>
      <c r="B879" s="5">
        <v>6</v>
      </c>
      <c r="C879" s="14">
        <v>955.13333333333298</v>
      </c>
      <c r="D879" s="14">
        <v>955.13333333333298</v>
      </c>
    </row>
    <row r="880" spans="1:4">
      <c r="A880" s="5"/>
      <c r="B880" s="5"/>
      <c r="C880" s="14"/>
      <c r="D880" s="14">
        <v>955.13333333333298</v>
      </c>
    </row>
    <row r="881" spans="1:4">
      <c r="A881" s="5"/>
      <c r="B881" s="5"/>
      <c r="C881" s="14"/>
      <c r="D881" s="14">
        <v>955.13333333333298</v>
      </c>
    </row>
    <row r="882" spans="1:4">
      <c r="A882" s="5">
        <v>2014</v>
      </c>
      <c r="B882" s="5">
        <v>7</v>
      </c>
      <c r="C882" s="14">
        <v>958.58064516129002</v>
      </c>
      <c r="D882" s="14">
        <v>958.58064516129002</v>
      </c>
    </row>
    <row r="883" spans="1:4">
      <c r="A883" s="5"/>
      <c r="B883" s="5"/>
      <c r="C883" s="14"/>
      <c r="D883" s="14">
        <v>958.58064516129002</v>
      </c>
    </row>
    <row r="884" spans="1:4">
      <c r="A884" s="5"/>
      <c r="B884" s="5"/>
      <c r="C884" s="14"/>
      <c r="D884" s="14">
        <v>958.58064516129002</v>
      </c>
    </row>
    <row r="885" spans="1:4">
      <c r="B885" s="5">
        <v>8</v>
      </c>
      <c r="C885" s="14">
        <v>1046.2903225806499</v>
      </c>
      <c r="D885" s="14">
        <v>1046.2903225806499</v>
      </c>
    </row>
    <row r="886" spans="1:4">
      <c r="B886" s="5"/>
      <c r="C886" s="14"/>
      <c r="D886" s="14">
        <v>1046.2903225806499</v>
      </c>
    </row>
    <row r="887" spans="1:4">
      <c r="B887" s="5"/>
      <c r="C887" s="14"/>
      <c r="D887" s="14">
        <v>1046.2903225806499</v>
      </c>
    </row>
    <row r="888" spans="1:4">
      <c r="B888" s="5">
        <v>9</v>
      </c>
      <c r="C888" s="14">
        <v>1471.4</v>
      </c>
      <c r="D888" s="14">
        <v>1471.4</v>
      </c>
    </row>
    <row r="889" spans="1:4">
      <c r="B889" s="5">
        <v>10</v>
      </c>
      <c r="C889" s="14">
        <v>1016.70967741935</v>
      </c>
      <c r="D889" s="14">
        <v>1016.70967741935</v>
      </c>
    </row>
    <row r="890" spans="1:4">
      <c r="B890" s="5">
        <v>11</v>
      </c>
      <c r="C890" s="14">
        <v>446.76666666666699</v>
      </c>
      <c r="D890" s="14">
        <v>446.76666666666699</v>
      </c>
    </row>
    <row r="891" spans="1:4">
      <c r="B891" s="5">
        <v>12</v>
      </c>
      <c r="C891" s="14">
        <v>267.193548387097</v>
      </c>
      <c r="D891" s="14">
        <v>267.193548387097</v>
      </c>
    </row>
    <row r="892" spans="1:4">
      <c r="B892" s="5">
        <v>1</v>
      </c>
      <c r="C892" s="14">
        <v>224.58064516128999</v>
      </c>
      <c r="D892" s="14">
        <v>224.58064516128999</v>
      </c>
    </row>
    <row r="893" spans="1:4">
      <c r="B893" s="5">
        <v>2</v>
      </c>
      <c r="C893" s="14">
        <v>210.25</v>
      </c>
      <c r="D893" s="14">
        <v>210.25</v>
      </c>
    </row>
    <row r="894" spans="1:4">
      <c r="B894" s="5">
        <v>3</v>
      </c>
      <c r="C894" s="14">
        <v>253.90322580645201</v>
      </c>
      <c r="D894" s="14">
        <v>253.90322580645201</v>
      </c>
    </row>
    <row r="895" spans="1:4">
      <c r="B895" s="5">
        <v>4</v>
      </c>
      <c r="C895" s="14">
        <v>286.2</v>
      </c>
      <c r="D895" s="14">
        <v>286.2</v>
      </c>
    </row>
    <row r="896" spans="1:4">
      <c r="B896" s="5">
        <v>5</v>
      </c>
      <c r="C896" s="14">
        <v>336.16129032258101</v>
      </c>
      <c r="D896" s="14">
        <v>336.16129032258101</v>
      </c>
    </row>
    <row r="897" spans="1:4">
      <c r="B897" s="5"/>
      <c r="C897" s="14"/>
      <c r="D897" s="14">
        <v>336.16129032258101</v>
      </c>
    </row>
    <row r="898" spans="1:4">
      <c r="B898" s="5"/>
      <c r="C898" s="14"/>
      <c r="D898" s="14">
        <v>336.16129032258101</v>
      </c>
    </row>
    <row r="899" spans="1:4">
      <c r="B899" s="5">
        <v>6</v>
      </c>
      <c r="C899" s="14">
        <v>758.16666666666697</v>
      </c>
      <c r="D899" s="14">
        <v>758.16666666666697</v>
      </c>
    </row>
    <row r="900" spans="1:4">
      <c r="B900" s="5"/>
      <c r="C900" s="14"/>
      <c r="D900" s="14">
        <v>758.16666666666697</v>
      </c>
    </row>
    <row r="901" spans="1:4">
      <c r="B901" s="5"/>
      <c r="C901" s="14"/>
      <c r="D901" s="14">
        <v>758.16666666666697</v>
      </c>
    </row>
    <row r="902" spans="1:4">
      <c r="A902" s="5">
        <v>2015</v>
      </c>
      <c r="B902" s="5">
        <v>7</v>
      </c>
      <c r="C902" s="14">
        <v>1273.41935483871</v>
      </c>
      <c r="D902" s="14">
        <v>1273.41935483871</v>
      </c>
    </row>
    <row r="903" spans="1:4">
      <c r="A903" s="5"/>
      <c r="B903" s="5"/>
      <c r="C903" s="14"/>
      <c r="D903" s="14">
        <v>1273.41935483871</v>
      </c>
    </row>
    <row r="904" spans="1:4">
      <c r="A904" s="5"/>
      <c r="B904" s="5"/>
      <c r="C904" s="14"/>
      <c r="D904" s="14">
        <v>1273.41935483871</v>
      </c>
    </row>
    <row r="905" spans="1:4">
      <c r="B905" s="5">
        <v>8</v>
      </c>
      <c r="C905" s="14">
        <v>479.12903225806502</v>
      </c>
      <c r="D905" s="14">
        <v>479.12903225806502</v>
      </c>
    </row>
    <row r="906" spans="1:4">
      <c r="B906" s="5"/>
      <c r="C906" s="14"/>
      <c r="D906" s="14">
        <v>479.12903225806502</v>
      </c>
    </row>
    <row r="907" spans="1:4">
      <c r="B907" s="5"/>
      <c r="C907" s="14"/>
      <c r="D907" s="14">
        <v>479.12903225806502</v>
      </c>
    </row>
    <row r="908" spans="1:4">
      <c r="B908" s="5">
        <v>9</v>
      </c>
      <c r="C908" s="14">
        <v>663.36666666666702</v>
      </c>
      <c r="D908" s="14">
        <v>663.36666666666702</v>
      </c>
    </row>
    <row r="909" spans="1:4">
      <c r="B909" s="5">
        <v>10</v>
      </c>
      <c r="C909" s="14">
        <v>700.322580645161</v>
      </c>
      <c r="D909" s="14">
        <v>700.322580645161</v>
      </c>
    </row>
    <row r="910" spans="1:4">
      <c r="B910" s="5">
        <v>11</v>
      </c>
      <c r="C910" s="14">
        <v>350</v>
      </c>
      <c r="D910" s="14">
        <v>350</v>
      </c>
    </row>
    <row r="911" spans="1:4">
      <c r="B911" s="5">
        <v>12</v>
      </c>
      <c r="C911" s="14">
        <v>205.70967741935499</v>
      </c>
      <c r="D911" s="14">
        <v>205.70967741935499</v>
      </c>
    </row>
    <row r="912" spans="1:4">
      <c r="B912" s="5">
        <v>1</v>
      </c>
      <c r="C912" s="14">
        <v>137.90322580645201</v>
      </c>
      <c r="D912" s="14">
        <v>137.90322580645201</v>
      </c>
    </row>
    <row r="913" spans="1:4">
      <c r="B913" s="5">
        <v>2</v>
      </c>
      <c r="C913" s="14">
        <v>140.13793103448299</v>
      </c>
      <c r="D913" s="14">
        <v>140.13793103448299</v>
      </c>
    </row>
    <row r="914" spans="1:4">
      <c r="B914" s="5">
        <v>3</v>
      </c>
      <c r="C914" s="14">
        <v>197.83870967741899</v>
      </c>
      <c r="D914" s="14">
        <v>197.83870967741899</v>
      </c>
    </row>
    <row r="915" spans="1:4">
      <c r="B915" s="5">
        <v>4</v>
      </c>
      <c r="C915" s="14">
        <v>308.60000000000002</v>
      </c>
      <c r="D915" s="14">
        <v>308.60000000000002</v>
      </c>
    </row>
    <row r="916" spans="1:4">
      <c r="B916" s="5">
        <v>5</v>
      </c>
      <c r="C916" s="14">
        <v>477.41935483870998</v>
      </c>
      <c r="D916" s="14">
        <v>477.41935483870998</v>
      </c>
    </row>
    <row r="917" spans="1:4">
      <c r="B917" s="5"/>
      <c r="C917" s="14"/>
      <c r="D917" s="14">
        <v>477.41935483870998</v>
      </c>
    </row>
    <row r="918" spans="1:4">
      <c r="B918" s="5"/>
      <c r="C918" s="14"/>
      <c r="D918" s="14">
        <v>477.41935483870998</v>
      </c>
    </row>
    <row r="919" spans="1:4">
      <c r="B919" s="5">
        <v>6</v>
      </c>
      <c r="C919" s="14">
        <v>603.9</v>
      </c>
      <c r="D919" s="14">
        <v>603.9</v>
      </c>
    </row>
    <row r="920" spans="1:4">
      <c r="A920" s="4"/>
      <c r="B920" s="4"/>
      <c r="C920" s="4"/>
      <c r="D920" s="14">
        <v>603.9</v>
      </c>
    </row>
    <row r="921" spans="1:4">
      <c r="A921" s="4"/>
      <c r="B921" s="4"/>
      <c r="C921" s="4"/>
      <c r="D921" s="14">
        <v>603.9</v>
      </c>
    </row>
    <row r="922" spans="1:4">
      <c r="A922" s="4"/>
      <c r="B922" s="4"/>
      <c r="C922" s="4"/>
      <c r="D922" s="4"/>
    </row>
    <row r="923" spans="1:4">
      <c r="A923" s="4"/>
      <c r="B923" s="4"/>
      <c r="C923" s="4"/>
      <c r="D923" s="4"/>
    </row>
    <row r="924" spans="1:4">
      <c r="A924" s="4"/>
      <c r="B924" s="4"/>
      <c r="C924" s="4"/>
      <c r="D924" s="4"/>
    </row>
    <row r="925" spans="1:4">
      <c r="A925" s="4"/>
      <c r="B925" s="4"/>
      <c r="C925" s="4"/>
      <c r="D925" s="4"/>
    </row>
    <row r="926" spans="1:4">
      <c r="A926" s="4"/>
      <c r="B926" s="4"/>
      <c r="C926" s="4"/>
      <c r="D926" s="4"/>
    </row>
    <row r="927" spans="1:4">
      <c r="A927" s="4"/>
      <c r="B927" s="4"/>
      <c r="C927" s="4"/>
      <c r="D927" s="4"/>
    </row>
    <row r="928" spans="1:4">
      <c r="A928" s="4"/>
      <c r="B928" s="4"/>
      <c r="C928" s="4"/>
      <c r="D928" s="4"/>
    </row>
    <row r="929" spans="1:4">
      <c r="A929" s="4"/>
      <c r="B929" s="4"/>
      <c r="C929" s="4"/>
      <c r="D929" s="4"/>
    </row>
    <row r="930" spans="1:4">
      <c r="A930" s="4"/>
      <c r="B930" s="4"/>
      <c r="C930" s="4"/>
      <c r="D930" s="4"/>
    </row>
    <row r="931" spans="1:4">
      <c r="A931" s="4"/>
      <c r="B931" s="4"/>
      <c r="C931" s="4"/>
      <c r="D931" s="4"/>
    </row>
    <row r="932" spans="1:4">
      <c r="A932" s="4"/>
      <c r="B932" s="4"/>
      <c r="C932" s="4"/>
      <c r="D932" s="4"/>
    </row>
    <row r="933" spans="1:4">
      <c r="A933" s="4"/>
      <c r="B933" s="4"/>
      <c r="C933" s="4"/>
      <c r="D933" s="4"/>
    </row>
    <row r="934" spans="1:4">
      <c r="A934" s="4"/>
      <c r="B934" s="4"/>
      <c r="C934" s="4"/>
      <c r="D934" s="4"/>
    </row>
    <row r="935" spans="1:4">
      <c r="A935" s="4"/>
      <c r="B935" s="4"/>
      <c r="C935" s="4"/>
      <c r="D935" s="4"/>
    </row>
    <row r="936" spans="1:4">
      <c r="A936" s="4"/>
      <c r="B936" s="4"/>
      <c r="C936" s="4"/>
      <c r="D936" s="4"/>
    </row>
    <row r="937" spans="1:4">
      <c r="A937" s="4"/>
      <c r="B937" s="4"/>
      <c r="C937" s="4"/>
      <c r="D937" s="4"/>
    </row>
    <row r="938" spans="1:4">
      <c r="A938" s="4"/>
      <c r="B938" s="4"/>
      <c r="C938" s="4"/>
      <c r="D938" s="4"/>
    </row>
    <row r="939" spans="1:4">
      <c r="A939" s="4"/>
      <c r="B939" s="4"/>
      <c r="C939" s="4"/>
      <c r="D939" s="4"/>
    </row>
    <row r="940" spans="1:4">
      <c r="A940" s="4"/>
      <c r="B940" s="4"/>
      <c r="C940" s="4"/>
      <c r="D940" s="4"/>
    </row>
    <row r="941" spans="1:4">
      <c r="A941" s="4"/>
      <c r="B941" s="4"/>
      <c r="C941" s="4"/>
      <c r="D941" s="4"/>
    </row>
    <row r="942" spans="1:4">
      <c r="A942" s="4"/>
      <c r="B942" s="4"/>
      <c r="C942" s="4"/>
      <c r="D942" s="4"/>
    </row>
    <row r="943" spans="1:4">
      <c r="A943" s="4"/>
      <c r="B943" s="4"/>
      <c r="C943" s="4"/>
      <c r="D943" s="4"/>
    </row>
    <row r="944" spans="1:4">
      <c r="A944" s="4"/>
      <c r="B944" s="4"/>
      <c r="C944" s="4"/>
      <c r="D944" s="4"/>
    </row>
    <row r="945" spans="1:4">
      <c r="A945" s="4"/>
      <c r="B945" s="4"/>
      <c r="C945" s="4"/>
      <c r="D945" s="4"/>
    </row>
    <row r="946" spans="1:4">
      <c r="A946" s="4"/>
      <c r="B946" s="4"/>
      <c r="C946" s="4"/>
      <c r="D946" s="4"/>
    </row>
    <row r="947" spans="1:4">
      <c r="A947" s="4"/>
      <c r="B947" s="4"/>
      <c r="C947" s="4"/>
      <c r="D947" s="4"/>
    </row>
    <row r="948" spans="1:4">
      <c r="A948" s="4"/>
      <c r="B948" s="4"/>
      <c r="C948" s="4"/>
      <c r="D948" s="4"/>
    </row>
    <row r="949" spans="1:4">
      <c r="A949" s="4"/>
      <c r="B949" s="4"/>
      <c r="C949" s="4"/>
      <c r="D949" s="4"/>
    </row>
    <row r="950" spans="1:4">
      <c r="A950" s="4"/>
      <c r="B950" s="4"/>
      <c r="C950" s="4"/>
      <c r="D950" s="4"/>
    </row>
    <row r="951" spans="1:4">
      <c r="A951" s="4"/>
      <c r="B951" s="4"/>
      <c r="C951" s="4"/>
      <c r="D951" s="4"/>
    </row>
    <row r="952" spans="1:4">
      <c r="A952" s="4"/>
      <c r="B952" s="4"/>
      <c r="C952" s="4"/>
      <c r="D952" s="4"/>
    </row>
    <row r="953" spans="1:4">
      <c r="A953" s="4"/>
      <c r="B953" s="4"/>
      <c r="C953" s="4"/>
      <c r="D953" s="4"/>
    </row>
    <row r="954" spans="1:4">
      <c r="A954" s="4"/>
      <c r="B954" s="4"/>
      <c r="C954" s="4"/>
      <c r="D954" s="4"/>
    </row>
    <row r="955" spans="1:4">
      <c r="A955" s="4"/>
      <c r="B955" s="4"/>
      <c r="C955" s="4"/>
      <c r="D955" s="4"/>
    </row>
    <row r="956" spans="1:4">
      <c r="A956" s="4"/>
      <c r="B956" s="4"/>
      <c r="C956" s="4"/>
      <c r="D956" s="4"/>
    </row>
    <row r="957" spans="1:4">
      <c r="A957" s="4"/>
      <c r="B957" s="4"/>
      <c r="C957" s="4"/>
      <c r="D957" s="4"/>
    </row>
    <row r="958" spans="1:4">
      <c r="A958" s="4"/>
      <c r="B958" s="4"/>
      <c r="C958" s="4"/>
      <c r="D958" s="4"/>
    </row>
    <row r="959" spans="1:4">
      <c r="A959" s="4"/>
      <c r="B959" s="4"/>
      <c r="C959" s="4"/>
      <c r="D959" s="4"/>
    </row>
    <row r="960" spans="1:4">
      <c r="A960" s="4"/>
      <c r="B960" s="4"/>
      <c r="C960" s="4"/>
      <c r="D960" s="4"/>
    </row>
    <row r="961" spans="1:4">
      <c r="A961" s="4"/>
      <c r="B961" s="4"/>
      <c r="C961" s="4"/>
      <c r="D961" s="4"/>
    </row>
    <row r="962" spans="1:4">
      <c r="A962" s="4"/>
      <c r="B962" s="4"/>
      <c r="C962" s="4"/>
      <c r="D962" s="4"/>
    </row>
    <row r="963" spans="1:4">
      <c r="A963" s="4"/>
      <c r="B963" s="4"/>
      <c r="C963" s="4"/>
      <c r="D963" s="4"/>
    </row>
    <row r="964" spans="1:4">
      <c r="A964" s="4"/>
      <c r="B964" s="4"/>
      <c r="C964" s="4"/>
      <c r="D964" s="4"/>
    </row>
    <row r="965" spans="1:4">
      <c r="A965" s="4"/>
      <c r="B965" s="4"/>
      <c r="C965" s="4"/>
      <c r="D965" s="4"/>
    </row>
    <row r="966" spans="1:4">
      <c r="A966" s="4"/>
      <c r="B966" s="4"/>
      <c r="C966" s="4"/>
      <c r="D966" s="4"/>
    </row>
    <row r="967" spans="1:4">
      <c r="A967" s="4"/>
      <c r="B967" s="4"/>
      <c r="C967" s="4"/>
      <c r="D967" s="4"/>
    </row>
    <row r="968" spans="1:4">
      <c r="A968" s="4"/>
      <c r="B968" s="4"/>
      <c r="C968" s="4"/>
      <c r="D968" s="4"/>
    </row>
    <row r="969" spans="1:4">
      <c r="A969" s="4"/>
      <c r="B969" s="4"/>
      <c r="C969" s="4"/>
      <c r="D969" s="4"/>
    </row>
    <row r="970" spans="1:4">
      <c r="A970" s="4"/>
      <c r="B970" s="4"/>
      <c r="C970" s="4"/>
      <c r="D970" s="4"/>
    </row>
    <row r="971" spans="1:4">
      <c r="A971" s="4"/>
      <c r="B971" s="4"/>
      <c r="C971" s="4"/>
      <c r="D971" s="4"/>
    </row>
    <row r="972" spans="1:4">
      <c r="A972" s="4"/>
      <c r="B972" s="4"/>
      <c r="C972" s="4"/>
      <c r="D972" s="4"/>
    </row>
    <row r="973" spans="1:4">
      <c r="A973" s="4"/>
      <c r="B973" s="4"/>
      <c r="C973" s="4"/>
      <c r="D973" s="4"/>
    </row>
    <row r="974" spans="1:4">
      <c r="A974" s="4"/>
      <c r="B974" s="4"/>
      <c r="C974" s="4"/>
      <c r="D974" s="4"/>
    </row>
    <row r="975" spans="1:4">
      <c r="A975" s="4"/>
      <c r="B975" s="4"/>
      <c r="C975" s="4"/>
      <c r="D975" s="4"/>
    </row>
    <row r="976" spans="1:4">
      <c r="A976" s="4"/>
      <c r="B976" s="4"/>
      <c r="C976" s="4"/>
      <c r="D976" s="4"/>
    </row>
    <row r="977" spans="1:4">
      <c r="A977" s="4"/>
      <c r="B977" s="4"/>
      <c r="C977" s="4"/>
      <c r="D977" s="4"/>
    </row>
    <row r="978" spans="1:4">
      <c r="A978" s="4"/>
      <c r="B978" s="4"/>
      <c r="C978" s="4"/>
      <c r="D978" s="4"/>
    </row>
    <row r="979" spans="1:4">
      <c r="A979" s="4"/>
      <c r="B979" s="4"/>
      <c r="C979" s="4"/>
      <c r="D979" s="4"/>
    </row>
    <row r="980" spans="1:4">
      <c r="A980" s="4"/>
      <c r="B980" s="4"/>
      <c r="C980" s="4"/>
      <c r="D980" s="4"/>
    </row>
    <row r="981" spans="1:4">
      <c r="A981" s="4"/>
      <c r="B981" s="4"/>
      <c r="C981" s="4"/>
      <c r="D981" s="4"/>
    </row>
    <row r="982" spans="1:4">
      <c r="A982" s="4"/>
      <c r="B982" s="4"/>
      <c r="C982" s="4"/>
      <c r="D982" s="4"/>
    </row>
    <row r="983" spans="1:4">
      <c r="A983" s="4"/>
      <c r="B983" s="4"/>
      <c r="C983" s="4"/>
      <c r="D983" s="4"/>
    </row>
    <row r="984" spans="1:4">
      <c r="A984" s="4"/>
      <c r="B984" s="4"/>
      <c r="C984" s="4"/>
      <c r="D984" s="4"/>
    </row>
    <row r="985" spans="1:4">
      <c r="A985" s="4"/>
      <c r="B985" s="4"/>
      <c r="C985" s="4"/>
      <c r="D985" s="4"/>
    </row>
    <row r="986" spans="1:4">
      <c r="A986" s="4"/>
      <c r="B986" s="4"/>
      <c r="C986" s="4"/>
      <c r="D986" s="4"/>
    </row>
    <row r="987" spans="1:4">
      <c r="A987" s="4"/>
      <c r="B987" s="4"/>
      <c r="C987" s="4"/>
      <c r="D987" s="4"/>
    </row>
    <row r="988" spans="1:4">
      <c r="A988" s="4"/>
      <c r="B988" s="4"/>
      <c r="C988" s="4"/>
      <c r="D988" s="4"/>
    </row>
    <row r="989" spans="1:4">
      <c r="A989" s="4"/>
      <c r="B989" s="4"/>
      <c r="C989" s="4"/>
      <c r="D989" s="4"/>
    </row>
    <row r="990" spans="1:4">
      <c r="A990" s="4"/>
      <c r="B990" s="4"/>
      <c r="C990" s="4"/>
      <c r="D990" s="4"/>
    </row>
    <row r="991" spans="1:4">
      <c r="A991" s="4"/>
      <c r="B991" s="4"/>
      <c r="C991" s="4"/>
      <c r="D991" s="4"/>
    </row>
    <row r="992" spans="1:4">
      <c r="A992" s="4"/>
      <c r="B992" s="4"/>
      <c r="C992" s="4"/>
      <c r="D992" s="4"/>
    </row>
    <row r="993" spans="1:4">
      <c r="A993" s="4"/>
      <c r="B993" s="4"/>
      <c r="C993" s="4"/>
      <c r="D993" s="4"/>
    </row>
    <row r="994" spans="1:4">
      <c r="A994" s="4"/>
      <c r="B994" s="4"/>
      <c r="C994" s="4"/>
      <c r="D994" s="4"/>
    </row>
    <row r="995" spans="1:4">
      <c r="A995" s="4"/>
      <c r="B995" s="4"/>
      <c r="C995" s="4"/>
      <c r="D995" s="4"/>
    </row>
    <row r="996" spans="1:4">
      <c r="A996" s="4"/>
      <c r="B996" s="4"/>
      <c r="C996" s="4"/>
      <c r="D996" s="4"/>
    </row>
    <row r="997" spans="1:4">
      <c r="A997" s="4"/>
      <c r="B997" s="4"/>
      <c r="C997" s="4"/>
      <c r="D997" s="4"/>
    </row>
    <row r="998" spans="1:4">
      <c r="A998" s="4"/>
      <c r="B998" s="4"/>
      <c r="C998" s="4"/>
      <c r="D998" s="4"/>
    </row>
    <row r="999" spans="1:4">
      <c r="A999" s="4"/>
      <c r="B999" s="4"/>
      <c r="C999" s="4"/>
      <c r="D999" s="4"/>
    </row>
    <row r="1000" spans="1:4">
      <c r="A1000" s="4"/>
      <c r="B1000" s="4"/>
      <c r="C1000" s="4"/>
      <c r="D1000" s="4"/>
    </row>
    <row r="1001" spans="1:4">
      <c r="A1001" s="4"/>
      <c r="B1001" s="4"/>
      <c r="C1001" s="4"/>
      <c r="D1001" s="4"/>
    </row>
    <row r="1002" spans="1:4">
      <c r="A1002" s="4"/>
      <c r="B1002" s="4"/>
      <c r="C1002" s="4"/>
      <c r="D1002" s="4"/>
    </row>
    <row r="1003" spans="1:4">
      <c r="A1003" s="4"/>
      <c r="B1003" s="4"/>
      <c r="C1003" s="4"/>
      <c r="D1003" s="4"/>
    </row>
    <row r="1004" spans="1:4">
      <c r="A1004" s="4"/>
      <c r="B1004" s="4"/>
      <c r="C1004" s="4"/>
      <c r="D1004" s="4"/>
    </row>
    <row r="1005" spans="1:4">
      <c r="A1005" s="4"/>
      <c r="B1005" s="4"/>
      <c r="C1005" s="4"/>
      <c r="D1005" s="4"/>
    </row>
    <row r="1006" spans="1:4">
      <c r="A1006" s="4"/>
      <c r="B1006" s="4"/>
      <c r="C1006" s="4"/>
      <c r="D1006" s="4"/>
    </row>
    <row r="1007" spans="1:4">
      <c r="A1007" s="4"/>
      <c r="B1007" s="4"/>
      <c r="C1007" s="4"/>
      <c r="D1007" s="4"/>
    </row>
    <row r="1008" spans="1:4">
      <c r="A1008" s="4"/>
      <c r="B1008" s="4"/>
      <c r="C1008" s="4"/>
      <c r="D1008" s="4"/>
    </row>
    <row r="1009" spans="1:4">
      <c r="A1009" s="4"/>
      <c r="B1009" s="4"/>
      <c r="C1009" s="4"/>
      <c r="D1009" s="4"/>
    </row>
    <row r="1010" spans="1:4">
      <c r="A1010" s="4"/>
      <c r="B1010" s="4"/>
      <c r="C1010" s="4"/>
      <c r="D1010" s="4"/>
    </row>
    <row r="1011" spans="1:4">
      <c r="A1011" s="4"/>
      <c r="B1011" s="4"/>
      <c r="C1011" s="4"/>
      <c r="D1011" s="4"/>
    </row>
    <row r="1012" spans="1:4">
      <c r="A1012" s="4"/>
      <c r="B1012" s="4"/>
      <c r="C1012" s="4"/>
      <c r="D1012" s="4"/>
    </row>
    <row r="1013" spans="1:4">
      <c r="A1013" s="4"/>
      <c r="B1013" s="4"/>
      <c r="C1013" s="4"/>
      <c r="D1013" s="4"/>
    </row>
    <row r="1014" spans="1:4">
      <c r="A1014" s="4"/>
      <c r="B1014" s="4"/>
      <c r="C1014" s="4"/>
      <c r="D1014" s="4"/>
    </row>
    <row r="1015" spans="1:4">
      <c r="A1015" s="4"/>
      <c r="B1015" s="4"/>
      <c r="C1015" s="4"/>
      <c r="D1015" s="4"/>
    </row>
    <row r="1016" spans="1:4">
      <c r="A1016" s="4"/>
      <c r="B1016" s="4"/>
      <c r="C1016" s="4"/>
      <c r="D1016" s="4"/>
    </row>
    <row r="1017" spans="1:4">
      <c r="A1017" s="4"/>
      <c r="B1017" s="4"/>
      <c r="C1017" s="4"/>
      <c r="D1017" s="4"/>
    </row>
    <row r="1018" spans="1:4">
      <c r="A1018" s="4"/>
      <c r="B1018" s="4"/>
      <c r="C1018" s="4"/>
      <c r="D1018" s="4"/>
    </row>
    <row r="1019" spans="1:4">
      <c r="A1019" s="4"/>
      <c r="B1019" s="4"/>
      <c r="C1019" s="4"/>
      <c r="D1019" s="4"/>
    </row>
    <row r="1020" spans="1:4">
      <c r="D1020" s="4"/>
    </row>
    <row r="1021" spans="1:4">
      <c r="D1021" s="4"/>
    </row>
    <row r="1022" spans="1:4">
      <c r="D1022" s="4"/>
    </row>
    <row r="1023" spans="1:4">
      <c r="D1023" s="4"/>
    </row>
    <row r="1024" spans="1:4">
      <c r="D1024" s="4"/>
    </row>
    <row r="1025" spans="4:4">
      <c r="D1025" s="4"/>
    </row>
  </sheetData>
  <phoneticPr fontId="7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019"/>
  <sheetViews>
    <sheetView workbookViewId="0">
      <selection activeCell="Y55" sqref="Y55"/>
    </sheetView>
  </sheetViews>
  <sheetFormatPr baseColWidth="10" defaultColWidth="9" defaultRowHeight="15"/>
  <sheetData>
    <row r="1" spans="1:25" ht="16">
      <c r="A1" s="2" t="s">
        <v>17</v>
      </c>
      <c r="B1" s="3" t="s">
        <v>18</v>
      </c>
      <c r="C1" s="3" t="s">
        <v>113</v>
      </c>
      <c r="E1" s="3" t="s">
        <v>18</v>
      </c>
      <c r="F1" s="4" t="s">
        <v>5</v>
      </c>
      <c r="G1" s="4" t="s">
        <v>6</v>
      </c>
      <c r="H1" s="4" t="s">
        <v>7</v>
      </c>
      <c r="I1" s="8" t="s">
        <v>8</v>
      </c>
      <c r="J1" s="8" t="s">
        <v>9</v>
      </c>
      <c r="K1" s="8" t="s">
        <v>10</v>
      </c>
      <c r="L1" s="4">
        <v>9</v>
      </c>
      <c r="M1" s="4">
        <v>10</v>
      </c>
      <c r="N1" s="4">
        <v>11</v>
      </c>
      <c r="O1" s="4">
        <v>12</v>
      </c>
      <c r="P1" s="4">
        <v>1</v>
      </c>
      <c r="Q1" s="4">
        <v>2</v>
      </c>
      <c r="R1" s="4">
        <v>3</v>
      </c>
      <c r="S1" s="4">
        <v>4</v>
      </c>
      <c r="T1" s="8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16</v>
      </c>
    </row>
    <row r="2" spans="1:25">
      <c r="A2" s="5">
        <v>1970</v>
      </c>
      <c r="B2" s="5">
        <v>7</v>
      </c>
      <c r="C2" s="9">
        <v>154</v>
      </c>
      <c r="E2" s="15" t="s">
        <v>46</v>
      </c>
      <c r="F2" s="9">
        <v>154</v>
      </c>
      <c r="G2" s="9">
        <v>154</v>
      </c>
      <c r="H2" s="9">
        <v>154</v>
      </c>
      <c r="I2" s="9">
        <v>361</v>
      </c>
      <c r="J2" s="9">
        <v>361</v>
      </c>
      <c r="K2" s="9">
        <v>361</v>
      </c>
      <c r="L2" s="9">
        <v>401</v>
      </c>
      <c r="M2" s="9">
        <v>266</v>
      </c>
      <c r="N2" s="9">
        <v>130</v>
      </c>
      <c r="O2" s="9">
        <v>78</v>
      </c>
      <c r="P2" s="9">
        <v>56</v>
      </c>
      <c r="Q2" s="9">
        <v>64</v>
      </c>
      <c r="R2" s="9">
        <v>64</v>
      </c>
      <c r="S2" s="9">
        <v>81</v>
      </c>
      <c r="T2" s="9">
        <v>108</v>
      </c>
      <c r="U2" s="9">
        <v>108</v>
      </c>
      <c r="V2" s="9">
        <v>108</v>
      </c>
      <c r="W2" s="9">
        <v>83</v>
      </c>
      <c r="X2" s="9">
        <v>83</v>
      </c>
      <c r="Y2" s="9">
        <v>83</v>
      </c>
    </row>
    <row r="3" spans="1:25">
      <c r="A3" s="5"/>
      <c r="B3" s="5"/>
      <c r="C3" s="9">
        <v>154</v>
      </c>
      <c r="E3" s="15" t="s">
        <v>47</v>
      </c>
      <c r="F3" s="9">
        <v>138</v>
      </c>
      <c r="G3" s="9">
        <v>138</v>
      </c>
      <c r="H3" s="9">
        <v>138</v>
      </c>
      <c r="I3" s="9">
        <v>96</v>
      </c>
      <c r="J3" s="9">
        <v>96</v>
      </c>
      <c r="K3" s="9">
        <v>96</v>
      </c>
      <c r="L3" s="9">
        <v>262</v>
      </c>
      <c r="M3" s="9">
        <v>300</v>
      </c>
      <c r="N3" s="9">
        <v>132</v>
      </c>
      <c r="O3" s="9">
        <v>74</v>
      </c>
      <c r="P3" s="9">
        <v>54</v>
      </c>
      <c r="Q3" s="9">
        <v>56</v>
      </c>
      <c r="R3" s="9">
        <v>56</v>
      </c>
      <c r="S3" s="9">
        <v>95</v>
      </c>
      <c r="T3" s="9">
        <v>175</v>
      </c>
      <c r="U3" s="9">
        <v>175</v>
      </c>
      <c r="V3" s="9">
        <v>175</v>
      </c>
      <c r="W3" s="9">
        <v>194</v>
      </c>
      <c r="X3" s="9">
        <v>194</v>
      </c>
      <c r="Y3" s="9">
        <v>194</v>
      </c>
    </row>
    <row r="4" spans="1:25">
      <c r="A4" s="5"/>
      <c r="B4" s="5"/>
      <c r="C4" s="9">
        <v>154</v>
      </c>
      <c r="E4" s="15" t="s">
        <v>48</v>
      </c>
      <c r="F4" s="9">
        <v>238</v>
      </c>
      <c r="G4" s="9">
        <v>238</v>
      </c>
      <c r="H4" s="9">
        <v>238</v>
      </c>
      <c r="I4" s="9">
        <v>166</v>
      </c>
      <c r="J4" s="9">
        <v>166</v>
      </c>
      <c r="K4" s="9">
        <v>166</v>
      </c>
      <c r="L4" s="9">
        <v>180</v>
      </c>
      <c r="M4" s="9">
        <v>106</v>
      </c>
      <c r="N4" s="9">
        <v>63</v>
      </c>
      <c r="O4" s="9">
        <v>48</v>
      </c>
      <c r="P4" s="9">
        <v>42</v>
      </c>
      <c r="Q4" s="9">
        <v>43</v>
      </c>
      <c r="R4" s="9">
        <v>43</v>
      </c>
      <c r="S4" s="9">
        <v>57</v>
      </c>
      <c r="T4" s="9">
        <v>190</v>
      </c>
      <c r="U4" s="9">
        <v>190</v>
      </c>
      <c r="V4" s="9">
        <v>190</v>
      </c>
      <c r="W4" s="9">
        <v>172</v>
      </c>
      <c r="X4" s="9">
        <v>172</v>
      </c>
      <c r="Y4" s="9">
        <v>172</v>
      </c>
    </row>
    <row r="5" spans="1:25">
      <c r="A5" s="5"/>
      <c r="B5" s="5">
        <v>8</v>
      </c>
      <c r="C5" s="9">
        <v>361</v>
      </c>
      <c r="E5" s="15" t="s">
        <v>49</v>
      </c>
      <c r="F5" s="9">
        <v>202</v>
      </c>
      <c r="G5" s="9">
        <v>202</v>
      </c>
      <c r="H5" s="9">
        <v>202</v>
      </c>
      <c r="I5" s="9">
        <v>520</v>
      </c>
      <c r="J5" s="9">
        <v>520</v>
      </c>
      <c r="K5" s="9">
        <v>520</v>
      </c>
      <c r="L5" s="9">
        <v>416</v>
      </c>
      <c r="M5" s="9">
        <v>310</v>
      </c>
      <c r="N5" s="9">
        <v>143</v>
      </c>
      <c r="O5" s="9">
        <v>84</v>
      </c>
      <c r="P5" s="9">
        <v>66</v>
      </c>
      <c r="Q5" s="9">
        <v>63</v>
      </c>
      <c r="R5" s="9">
        <v>63</v>
      </c>
      <c r="S5" s="9">
        <v>111</v>
      </c>
      <c r="T5" s="9">
        <v>142</v>
      </c>
      <c r="U5" s="9">
        <v>142</v>
      </c>
      <c r="V5" s="9">
        <v>142</v>
      </c>
      <c r="W5" s="9">
        <v>116</v>
      </c>
      <c r="X5" s="9">
        <v>116</v>
      </c>
      <c r="Y5" s="9">
        <v>116</v>
      </c>
    </row>
    <row r="6" spans="1:25">
      <c r="A6" s="5"/>
      <c r="B6" s="5"/>
      <c r="C6" s="9">
        <v>361</v>
      </c>
      <c r="E6" s="15" t="s">
        <v>50</v>
      </c>
      <c r="F6" s="9">
        <v>108</v>
      </c>
      <c r="G6" s="9">
        <v>108</v>
      </c>
      <c r="H6" s="9">
        <v>108</v>
      </c>
      <c r="I6" s="9">
        <v>113</v>
      </c>
      <c r="J6" s="9">
        <v>113</v>
      </c>
      <c r="K6" s="9">
        <v>113</v>
      </c>
      <c r="L6" s="9">
        <v>225</v>
      </c>
      <c r="M6" s="9">
        <v>254</v>
      </c>
      <c r="N6" s="9">
        <v>113</v>
      </c>
      <c r="O6" s="9">
        <v>77</v>
      </c>
      <c r="P6" s="9">
        <v>54</v>
      </c>
      <c r="Q6" s="9">
        <v>60</v>
      </c>
      <c r="R6" s="9">
        <v>60</v>
      </c>
      <c r="S6" s="9">
        <v>63</v>
      </c>
      <c r="T6" s="9">
        <v>197</v>
      </c>
      <c r="U6" s="9">
        <v>197</v>
      </c>
      <c r="V6" s="9">
        <v>197</v>
      </c>
      <c r="W6" s="9">
        <v>132</v>
      </c>
      <c r="X6" s="9">
        <v>132</v>
      </c>
      <c r="Y6" s="9">
        <v>132</v>
      </c>
    </row>
    <row r="7" spans="1:25">
      <c r="A7" s="5"/>
      <c r="B7" s="5"/>
      <c r="C7" s="9">
        <v>361</v>
      </c>
      <c r="E7" s="15" t="s">
        <v>51</v>
      </c>
      <c r="F7" s="9">
        <v>249</v>
      </c>
      <c r="G7" s="9">
        <v>249</v>
      </c>
      <c r="H7" s="9">
        <v>249</v>
      </c>
      <c r="I7" s="9">
        <v>293</v>
      </c>
      <c r="J7" s="9">
        <v>293</v>
      </c>
      <c r="K7" s="9">
        <v>293</v>
      </c>
      <c r="L7" s="9">
        <v>423</v>
      </c>
      <c r="M7" s="9">
        <v>471</v>
      </c>
      <c r="N7" s="9">
        <v>219</v>
      </c>
      <c r="O7" s="9">
        <v>92</v>
      </c>
      <c r="P7" s="9">
        <v>63</v>
      </c>
      <c r="Q7" s="9">
        <v>65</v>
      </c>
      <c r="R7" s="9">
        <v>65</v>
      </c>
      <c r="S7" s="9">
        <v>134</v>
      </c>
      <c r="T7" s="9">
        <v>150</v>
      </c>
      <c r="U7" s="9">
        <v>150</v>
      </c>
      <c r="V7" s="9">
        <v>150</v>
      </c>
      <c r="W7" s="9">
        <v>324</v>
      </c>
      <c r="X7" s="9">
        <v>324</v>
      </c>
      <c r="Y7" s="9">
        <v>324</v>
      </c>
    </row>
    <row r="8" spans="1:25">
      <c r="A8" s="5"/>
      <c r="B8" s="5">
        <v>9</v>
      </c>
      <c r="C8" s="9">
        <v>401</v>
      </c>
      <c r="E8" s="15" t="s">
        <v>52</v>
      </c>
      <c r="F8" s="9">
        <v>288</v>
      </c>
      <c r="G8" s="9">
        <v>288</v>
      </c>
      <c r="H8" s="9">
        <v>288</v>
      </c>
      <c r="I8" s="9">
        <v>825</v>
      </c>
      <c r="J8" s="9">
        <v>825</v>
      </c>
      <c r="K8" s="9">
        <v>825</v>
      </c>
      <c r="L8" s="9">
        <v>597</v>
      </c>
      <c r="M8" s="9">
        <v>276</v>
      </c>
      <c r="N8" s="9">
        <v>141</v>
      </c>
      <c r="O8" s="9">
        <v>92</v>
      </c>
      <c r="P8" s="9">
        <v>68</v>
      </c>
      <c r="Q8" s="9">
        <v>68</v>
      </c>
      <c r="R8" s="9">
        <v>68</v>
      </c>
      <c r="S8" s="9">
        <v>147</v>
      </c>
      <c r="T8" s="9">
        <v>267</v>
      </c>
      <c r="U8" s="9">
        <v>267</v>
      </c>
      <c r="V8" s="9">
        <v>267</v>
      </c>
      <c r="W8" s="9">
        <v>198</v>
      </c>
      <c r="X8" s="9">
        <v>198</v>
      </c>
      <c r="Y8" s="9">
        <v>198</v>
      </c>
    </row>
    <row r="9" spans="1:25">
      <c r="A9" s="5"/>
      <c r="B9" s="5">
        <v>10</v>
      </c>
      <c r="C9" s="9">
        <v>266</v>
      </c>
      <c r="E9" s="15" t="s">
        <v>53</v>
      </c>
      <c r="F9" s="9">
        <v>324</v>
      </c>
      <c r="G9" s="9">
        <v>324</v>
      </c>
      <c r="H9" s="9">
        <v>324</v>
      </c>
      <c r="I9" s="9">
        <v>293</v>
      </c>
      <c r="J9" s="9">
        <v>293</v>
      </c>
      <c r="K9" s="9">
        <v>293</v>
      </c>
      <c r="L9" s="9">
        <v>190</v>
      </c>
      <c r="M9" s="9">
        <v>145</v>
      </c>
      <c r="N9" s="9">
        <v>106</v>
      </c>
      <c r="O9" s="9">
        <v>78</v>
      </c>
      <c r="P9" s="9">
        <v>42</v>
      </c>
      <c r="Q9" s="9">
        <v>39</v>
      </c>
      <c r="R9" s="9">
        <v>39</v>
      </c>
      <c r="S9" s="9">
        <v>123</v>
      </c>
      <c r="T9" s="9">
        <v>89</v>
      </c>
      <c r="U9" s="9">
        <v>89</v>
      </c>
      <c r="V9" s="9">
        <v>89</v>
      </c>
      <c r="W9" s="9">
        <v>218</v>
      </c>
      <c r="X9" s="9">
        <v>218</v>
      </c>
      <c r="Y9" s="9">
        <v>218</v>
      </c>
    </row>
    <row r="10" spans="1:25">
      <c r="A10" s="5"/>
      <c r="B10" s="5">
        <v>11</v>
      </c>
      <c r="C10" s="9">
        <v>130</v>
      </c>
      <c r="E10" s="15" t="s">
        <v>54</v>
      </c>
      <c r="F10" s="9">
        <v>248</v>
      </c>
      <c r="G10" s="9">
        <v>248</v>
      </c>
      <c r="H10" s="9">
        <v>248</v>
      </c>
      <c r="I10" s="9">
        <v>504</v>
      </c>
      <c r="J10" s="9">
        <v>504</v>
      </c>
      <c r="K10" s="9">
        <v>504</v>
      </c>
      <c r="L10" s="9">
        <v>986</v>
      </c>
      <c r="M10" s="9">
        <v>384</v>
      </c>
      <c r="N10" s="9">
        <v>209</v>
      </c>
      <c r="O10" s="9">
        <v>142</v>
      </c>
      <c r="P10" s="9">
        <v>92</v>
      </c>
      <c r="Q10" s="9">
        <v>80</v>
      </c>
      <c r="R10" s="9">
        <v>80</v>
      </c>
      <c r="S10" s="9">
        <v>117</v>
      </c>
      <c r="T10" s="9">
        <v>84</v>
      </c>
      <c r="U10" s="9">
        <v>84</v>
      </c>
      <c r="V10" s="9">
        <v>84</v>
      </c>
      <c r="W10" s="9">
        <v>110</v>
      </c>
      <c r="X10" s="9">
        <v>110</v>
      </c>
      <c r="Y10" s="9">
        <v>110</v>
      </c>
    </row>
    <row r="11" spans="1:25">
      <c r="A11" s="5"/>
      <c r="B11" s="5">
        <v>12</v>
      </c>
      <c r="C11" s="9">
        <v>78</v>
      </c>
      <c r="E11" s="15" t="s">
        <v>55</v>
      </c>
      <c r="F11" s="9">
        <v>303</v>
      </c>
      <c r="G11" s="9">
        <v>303</v>
      </c>
      <c r="H11" s="9">
        <v>303</v>
      </c>
      <c r="I11" s="9">
        <v>833</v>
      </c>
      <c r="J11" s="9">
        <v>833</v>
      </c>
      <c r="K11" s="9">
        <v>833</v>
      </c>
      <c r="L11" s="9">
        <v>618</v>
      </c>
      <c r="M11" s="9">
        <v>352</v>
      </c>
      <c r="N11" s="9">
        <v>184</v>
      </c>
      <c r="O11" s="9">
        <v>121</v>
      </c>
      <c r="P11" s="9">
        <v>81</v>
      </c>
      <c r="Q11" s="9">
        <v>77</v>
      </c>
      <c r="R11" s="9">
        <v>77</v>
      </c>
      <c r="S11" s="9">
        <v>111</v>
      </c>
      <c r="T11" s="9">
        <v>92</v>
      </c>
      <c r="U11" s="9">
        <v>92</v>
      </c>
      <c r="V11" s="9">
        <v>92</v>
      </c>
      <c r="W11" s="9">
        <v>131</v>
      </c>
      <c r="X11" s="9">
        <v>131</v>
      </c>
      <c r="Y11" s="9">
        <v>131</v>
      </c>
    </row>
    <row r="12" spans="1:25">
      <c r="A12" s="5"/>
      <c r="B12" s="5">
        <v>1</v>
      </c>
      <c r="C12" s="9">
        <v>56</v>
      </c>
      <c r="E12" s="15" t="s">
        <v>56</v>
      </c>
      <c r="F12" s="12">
        <v>225</v>
      </c>
      <c r="G12" s="12">
        <v>225</v>
      </c>
      <c r="H12" s="12">
        <v>225</v>
      </c>
      <c r="I12" s="9">
        <v>200</v>
      </c>
      <c r="J12" s="9">
        <v>200</v>
      </c>
      <c r="K12" s="9">
        <v>200</v>
      </c>
      <c r="L12" s="9">
        <v>275</v>
      </c>
      <c r="M12" s="9">
        <v>208</v>
      </c>
      <c r="N12" s="9">
        <v>105</v>
      </c>
      <c r="O12" s="9">
        <v>69</v>
      </c>
      <c r="P12" s="9">
        <v>46</v>
      </c>
      <c r="Q12" s="9">
        <v>51</v>
      </c>
      <c r="R12" s="9">
        <v>51</v>
      </c>
      <c r="S12" s="9">
        <v>107</v>
      </c>
      <c r="T12" s="9">
        <v>60</v>
      </c>
      <c r="U12" s="9">
        <v>60</v>
      </c>
      <c r="V12" s="9">
        <v>60</v>
      </c>
      <c r="W12" s="9">
        <v>172</v>
      </c>
      <c r="X12" s="9">
        <v>172</v>
      </c>
      <c r="Y12" s="9">
        <v>172</v>
      </c>
    </row>
    <row r="13" spans="1:25">
      <c r="A13" s="5"/>
      <c r="B13" s="5">
        <v>2</v>
      </c>
      <c r="C13" s="9">
        <v>64</v>
      </c>
      <c r="E13" s="15" t="s">
        <v>57</v>
      </c>
      <c r="F13" s="9">
        <v>510</v>
      </c>
      <c r="G13" s="9">
        <v>510</v>
      </c>
      <c r="H13" s="9">
        <v>510</v>
      </c>
      <c r="I13" s="9">
        <v>318</v>
      </c>
      <c r="J13" s="9">
        <v>318</v>
      </c>
      <c r="K13" s="9">
        <v>318</v>
      </c>
      <c r="L13" s="9">
        <v>741</v>
      </c>
      <c r="M13" s="9">
        <v>357</v>
      </c>
      <c r="N13" s="9">
        <v>169</v>
      </c>
      <c r="O13" s="9">
        <v>100</v>
      </c>
      <c r="P13" s="9">
        <v>72</v>
      </c>
      <c r="Q13" s="9">
        <v>75</v>
      </c>
      <c r="R13" s="9">
        <v>75</v>
      </c>
      <c r="S13" s="9">
        <v>209</v>
      </c>
      <c r="T13" s="9">
        <v>217</v>
      </c>
      <c r="U13" s="9">
        <v>217</v>
      </c>
      <c r="V13" s="9">
        <v>217</v>
      </c>
      <c r="W13" s="9">
        <v>173</v>
      </c>
      <c r="X13" s="9">
        <v>173</v>
      </c>
      <c r="Y13" s="9">
        <v>173</v>
      </c>
    </row>
    <row r="14" spans="1:25">
      <c r="A14" s="5"/>
      <c r="B14" s="5">
        <v>3</v>
      </c>
      <c r="C14" s="9">
        <v>64</v>
      </c>
      <c r="E14" s="15" t="s">
        <v>58</v>
      </c>
      <c r="F14" s="9">
        <v>155</v>
      </c>
      <c r="G14" s="9">
        <v>155</v>
      </c>
      <c r="H14" s="9">
        <v>155</v>
      </c>
      <c r="I14" s="9">
        <v>109</v>
      </c>
      <c r="J14" s="9">
        <v>109</v>
      </c>
      <c r="K14" s="9">
        <v>109</v>
      </c>
      <c r="L14" s="9">
        <v>294</v>
      </c>
      <c r="M14" s="9">
        <v>262</v>
      </c>
      <c r="N14" s="9">
        <v>133</v>
      </c>
      <c r="O14" s="9">
        <v>79</v>
      </c>
      <c r="P14" s="9">
        <v>56</v>
      </c>
      <c r="Q14" s="9">
        <v>69</v>
      </c>
      <c r="R14" s="9">
        <v>69</v>
      </c>
      <c r="S14" s="9">
        <v>147</v>
      </c>
      <c r="T14" s="9">
        <v>199</v>
      </c>
      <c r="U14" s="9">
        <v>199</v>
      </c>
      <c r="V14" s="9">
        <v>199</v>
      </c>
      <c r="W14" s="9">
        <v>227</v>
      </c>
      <c r="X14" s="9">
        <v>227</v>
      </c>
      <c r="Y14" s="9">
        <v>227</v>
      </c>
    </row>
    <row r="15" spans="1:25">
      <c r="A15" s="5"/>
      <c r="B15" s="5">
        <v>4</v>
      </c>
      <c r="C15" s="9">
        <v>81</v>
      </c>
      <c r="E15" s="15" t="s">
        <v>59</v>
      </c>
      <c r="F15" s="9">
        <v>297</v>
      </c>
      <c r="G15" s="9">
        <v>297</v>
      </c>
      <c r="H15" s="9">
        <v>297</v>
      </c>
      <c r="I15" s="9">
        <v>270</v>
      </c>
      <c r="J15" s="9">
        <v>270</v>
      </c>
      <c r="K15" s="9">
        <v>270</v>
      </c>
      <c r="L15" s="9">
        <v>216</v>
      </c>
      <c r="M15" s="9">
        <v>367</v>
      </c>
      <c r="N15" s="9">
        <v>178</v>
      </c>
      <c r="O15" s="9">
        <v>103</v>
      </c>
      <c r="P15" s="9">
        <v>57</v>
      </c>
      <c r="Q15" s="9">
        <v>65</v>
      </c>
      <c r="R15" s="9">
        <v>65</v>
      </c>
      <c r="S15" s="9">
        <v>113</v>
      </c>
      <c r="T15" s="9">
        <v>138</v>
      </c>
      <c r="U15" s="9">
        <v>138</v>
      </c>
      <c r="V15" s="9">
        <v>138</v>
      </c>
      <c r="W15" s="9">
        <v>449</v>
      </c>
      <c r="X15" s="9">
        <v>449</v>
      </c>
      <c r="Y15" s="9">
        <v>449</v>
      </c>
    </row>
    <row r="16" spans="1:25">
      <c r="A16" s="5"/>
      <c r="B16" s="5">
        <v>5</v>
      </c>
      <c r="C16" s="9">
        <v>108</v>
      </c>
      <c r="E16" s="15" t="s">
        <v>60</v>
      </c>
      <c r="F16" s="9">
        <v>538</v>
      </c>
      <c r="G16" s="9">
        <v>538</v>
      </c>
      <c r="H16" s="9">
        <v>538</v>
      </c>
      <c r="I16" s="9">
        <v>499</v>
      </c>
      <c r="J16" s="9">
        <v>499</v>
      </c>
      <c r="K16" s="9">
        <v>499</v>
      </c>
      <c r="L16" s="9">
        <v>360</v>
      </c>
      <c r="M16" s="9">
        <v>359</v>
      </c>
      <c r="N16" s="9">
        <v>182</v>
      </c>
      <c r="O16" s="9">
        <v>97</v>
      </c>
      <c r="P16" s="9">
        <v>75</v>
      </c>
      <c r="Q16" s="9">
        <v>67</v>
      </c>
      <c r="R16" s="9">
        <v>67</v>
      </c>
      <c r="S16" s="9">
        <v>90</v>
      </c>
      <c r="T16" s="9">
        <v>151</v>
      </c>
      <c r="U16" s="9">
        <v>151</v>
      </c>
      <c r="V16" s="9">
        <v>151</v>
      </c>
      <c r="W16" s="9">
        <v>262</v>
      </c>
      <c r="X16" s="9">
        <v>262</v>
      </c>
      <c r="Y16" s="9">
        <v>262</v>
      </c>
    </row>
    <row r="17" spans="1:25">
      <c r="A17" s="5"/>
      <c r="B17" s="5"/>
      <c r="C17" s="9">
        <v>108</v>
      </c>
      <c r="E17" s="15" t="s">
        <v>61</v>
      </c>
      <c r="F17" s="9">
        <v>340</v>
      </c>
      <c r="G17" s="9">
        <v>340</v>
      </c>
      <c r="H17" s="9">
        <v>340</v>
      </c>
      <c r="I17" s="9">
        <v>346</v>
      </c>
      <c r="J17" s="9">
        <v>346</v>
      </c>
      <c r="K17" s="9">
        <v>346</v>
      </c>
      <c r="L17" s="9">
        <v>718</v>
      </c>
      <c r="M17" s="9">
        <v>348</v>
      </c>
      <c r="N17" s="9">
        <v>164</v>
      </c>
      <c r="O17" s="9">
        <v>94</v>
      </c>
      <c r="P17" s="9">
        <v>67</v>
      </c>
      <c r="Q17" s="9">
        <v>71</v>
      </c>
      <c r="R17" s="9">
        <v>71</v>
      </c>
      <c r="S17" s="9">
        <v>104</v>
      </c>
      <c r="T17" s="9">
        <v>241</v>
      </c>
      <c r="U17" s="9">
        <v>241</v>
      </c>
      <c r="V17" s="9">
        <v>241</v>
      </c>
      <c r="W17" s="9">
        <v>369</v>
      </c>
      <c r="X17" s="9">
        <v>369</v>
      </c>
      <c r="Y17" s="9">
        <v>369</v>
      </c>
    </row>
    <row r="18" spans="1:25">
      <c r="A18" s="5"/>
      <c r="B18" s="5"/>
      <c r="C18" s="9">
        <v>108</v>
      </c>
      <c r="E18" s="15" t="s">
        <v>62</v>
      </c>
      <c r="F18" s="9">
        <v>437</v>
      </c>
      <c r="G18" s="9">
        <v>437</v>
      </c>
      <c r="H18" s="9">
        <v>437</v>
      </c>
      <c r="I18" s="9">
        <v>222</v>
      </c>
      <c r="J18" s="9">
        <v>222</v>
      </c>
      <c r="K18" s="9">
        <v>222</v>
      </c>
      <c r="L18" s="9">
        <v>230</v>
      </c>
      <c r="M18" s="9">
        <v>135</v>
      </c>
      <c r="N18" s="9">
        <v>86</v>
      </c>
      <c r="O18" s="9">
        <v>78</v>
      </c>
      <c r="P18" s="9">
        <v>50</v>
      </c>
      <c r="Q18" s="9">
        <v>52</v>
      </c>
      <c r="R18" s="9">
        <v>52</v>
      </c>
      <c r="S18" s="9">
        <v>56</v>
      </c>
      <c r="T18" s="9">
        <v>222</v>
      </c>
      <c r="U18" s="9">
        <v>222</v>
      </c>
      <c r="V18" s="9">
        <v>222</v>
      </c>
      <c r="W18" s="9">
        <v>375</v>
      </c>
      <c r="X18" s="9">
        <v>375</v>
      </c>
      <c r="Y18" s="9">
        <v>375</v>
      </c>
    </row>
    <row r="19" spans="1:25">
      <c r="A19" s="5"/>
      <c r="B19" s="5">
        <v>6</v>
      </c>
      <c r="C19" s="9">
        <v>83</v>
      </c>
      <c r="E19" s="15" t="s">
        <v>63</v>
      </c>
      <c r="F19" s="9">
        <v>285</v>
      </c>
      <c r="G19" s="9">
        <v>285</v>
      </c>
      <c r="H19" s="9">
        <v>285</v>
      </c>
      <c r="I19" s="9">
        <v>155</v>
      </c>
      <c r="J19" s="9">
        <v>155</v>
      </c>
      <c r="K19" s="9">
        <v>155</v>
      </c>
      <c r="L19" s="9">
        <v>138</v>
      </c>
      <c r="M19" s="9">
        <v>111</v>
      </c>
      <c r="N19" s="9">
        <v>67</v>
      </c>
      <c r="O19" s="9">
        <v>64</v>
      </c>
      <c r="P19" s="9">
        <v>57</v>
      </c>
      <c r="Q19" s="9">
        <v>54</v>
      </c>
      <c r="R19" s="9">
        <v>54</v>
      </c>
      <c r="S19" s="9">
        <v>81</v>
      </c>
      <c r="T19" s="9">
        <v>184</v>
      </c>
      <c r="U19" s="9">
        <v>184</v>
      </c>
      <c r="V19" s="9">
        <v>184</v>
      </c>
      <c r="W19" s="9">
        <v>218</v>
      </c>
      <c r="X19" s="9">
        <v>218</v>
      </c>
      <c r="Y19" s="9">
        <v>218</v>
      </c>
    </row>
    <row r="20" spans="1:25">
      <c r="A20" s="5"/>
      <c r="B20" s="5"/>
      <c r="C20" s="9">
        <v>83</v>
      </c>
      <c r="E20" s="15" t="s">
        <v>64</v>
      </c>
      <c r="F20" s="9">
        <v>197</v>
      </c>
      <c r="G20" s="9">
        <v>197</v>
      </c>
      <c r="H20" s="9">
        <v>197</v>
      </c>
      <c r="I20" s="9">
        <v>145</v>
      </c>
      <c r="J20" s="9">
        <v>145</v>
      </c>
      <c r="K20" s="9">
        <v>145</v>
      </c>
      <c r="L20" s="9">
        <v>161</v>
      </c>
      <c r="M20" s="9">
        <v>294</v>
      </c>
      <c r="N20" s="9">
        <v>137</v>
      </c>
      <c r="O20" s="9">
        <v>76</v>
      </c>
      <c r="P20" s="9">
        <v>62</v>
      </c>
      <c r="Q20" s="9">
        <v>50</v>
      </c>
      <c r="R20" s="9">
        <v>50</v>
      </c>
      <c r="S20" s="9">
        <v>158</v>
      </c>
      <c r="T20" s="9">
        <v>189</v>
      </c>
      <c r="U20" s="9">
        <v>189</v>
      </c>
      <c r="V20" s="9">
        <v>189</v>
      </c>
      <c r="W20" s="9">
        <v>248</v>
      </c>
      <c r="X20" s="9">
        <v>248</v>
      </c>
      <c r="Y20" s="9">
        <v>248</v>
      </c>
    </row>
    <row r="21" spans="1:25">
      <c r="A21" s="5"/>
      <c r="B21" s="5"/>
      <c r="C21" s="9">
        <v>83</v>
      </c>
      <c r="E21" s="15" t="s">
        <v>65</v>
      </c>
      <c r="F21" s="9">
        <v>289</v>
      </c>
      <c r="G21" s="9">
        <v>289</v>
      </c>
      <c r="H21" s="9">
        <v>289</v>
      </c>
      <c r="I21" s="9">
        <v>338</v>
      </c>
      <c r="J21" s="9">
        <v>338</v>
      </c>
      <c r="K21" s="9">
        <v>338</v>
      </c>
      <c r="L21" s="9">
        <v>264</v>
      </c>
      <c r="M21" s="9">
        <v>216</v>
      </c>
      <c r="N21" s="9">
        <v>145</v>
      </c>
      <c r="O21" s="9">
        <v>104</v>
      </c>
      <c r="P21" s="9">
        <v>61</v>
      </c>
      <c r="Q21" s="9">
        <v>55</v>
      </c>
      <c r="R21" s="9">
        <v>55</v>
      </c>
      <c r="S21" s="9">
        <v>125</v>
      </c>
      <c r="T21" s="9">
        <v>220</v>
      </c>
      <c r="U21" s="9">
        <v>220</v>
      </c>
      <c r="V21" s="9">
        <v>220</v>
      </c>
      <c r="W21" s="9">
        <v>170</v>
      </c>
      <c r="X21" s="9">
        <v>170</v>
      </c>
      <c r="Y21" s="9">
        <v>170</v>
      </c>
    </row>
    <row r="22" spans="1:25">
      <c r="A22" s="5">
        <v>1971</v>
      </c>
      <c r="B22" s="5">
        <v>7</v>
      </c>
      <c r="C22" s="9">
        <v>138</v>
      </c>
      <c r="E22" s="15" t="s">
        <v>20</v>
      </c>
      <c r="F22" s="9">
        <v>185</v>
      </c>
      <c r="G22" s="9">
        <v>185</v>
      </c>
      <c r="H22" s="9">
        <v>185</v>
      </c>
      <c r="I22" s="9">
        <v>237</v>
      </c>
      <c r="J22" s="9">
        <v>237</v>
      </c>
      <c r="K22" s="9">
        <v>237</v>
      </c>
      <c r="L22" s="9">
        <v>283</v>
      </c>
      <c r="M22" s="9">
        <v>188</v>
      </c>
      <c r="N22" s="9">
        <v>113</v>
      </c>
      <c r="O22" s="9">
        <v>85</v>
      </c>
      <c r="P22" s="9">
        <v>56</v>
      </c>
      <c r="Q22" s="9">
        <v>57</v>
      </c>
      <c r="R22" s="9">
        <v>57</v>
      </c>
      <c r="S22" s="9">
        <v>80</v>
      </c>
      <c r="T22" s="9">
        <v>130</v>
      </c>
      <c r="U22" s="9">
        <v>130</v>
      </c>
      <c r="V22" s="9">
        <v>130</v>
      </c>
      <c r="W22" s="9">
        <v>224</v>
      </c>
      <c r="X22" s="9">
        <v>224</v>
      </c>
      <c r="Y22" s="9">
        <v>224</v>
      </c>
    </row>
    <row r="23" spans="1:25">
      <c r="A23" s="5"/>
      <c r="B23" s="5"/>
      <c r="C23" s="9">
        <v>138</v>
      </c>
      <c r="E23" s="15" t="s">
        <v>21</v>
      </c>
      <c r="F23" s="9">
        <v>114</v>
      </c>
      <c r="G23" s="9">
        <v>114</v>
      </c>
      <c r="H23" s="9">
        <v>114</v>
      </c>
      <c r="I23" s="9">
        <v>112</v>
      </c>
      <c r="J23" s="9">
        <v>112</v>
      </c>
      <c r="K23" s="9">
        <v>112</v>
      </c>
      <c r="L23" s="9">
        <v>107</v>
      </c>
      <c r="M23" s="9">
        <v>99</v>
      </c>
      <c r="N23" s="9">
        <v>62</v>
      </c>
      <c r="O23" s="9">
        <v>53</v>
      </c>
      <c r="P23" s="9">
        <v>31</v>
      </c>
      <c r="Q23" s="9">
        <v>38</v>
      </c>
      <c r="R23" s="9">
        <v>38</v>
      </c>
      <c r="S23" s="9">
        <v>80</v>
      </c>
      <c r="T23" s="9">
        <v>76</v>
      </c>
      <c r="U23" s="9">
        <v>76</v>
      </c>
      <c r="V23" s="9">
        <v>76</v>
      </c>
      <c r="W23" s="9">
        <v>163</v>
      </c>
      <c r="X23" s="9">
        <v>163</v>
      </c>
      <c r="Y23" s="9">
        <v>163</v>
      </c>
    </row>
    <row r="24" spans="1:25">
      <c r="A24" s="5"/>
      <c r="B24" s="5"/>
      <c r="C24" s="9">
        <v>138</v>
      </c>
      <c r="E24" s="15" t="s">
        <v>22</v>
      </c>
      <c r="F24" s="9">
        <v>280</v>
      </c>
      <c r="G24" s="9">
        <v>280</v>
      </c>
      <c r="H24" s="9">
        <v>280</v>
      </c>
      <c r="I24" s="9">
        <v>461</v>
      </c>
      <c r="J24" s="9">
        <v>461</v>
      </c>
      <c r="K24" s="9">
        <v>461</v>
      </c>
      <c r="L24" s="9">
        <v>412</v>
      </c>
      <c r="M24" s="9">
        <v>338</v>
      </c>
      <c r="N24" s="9">
        <v>145</v>
      </c>
      <c r="O24" s="9">
        <v>96</v>
      </c>
      <c r="P24" s="9">
        <v>69</v>
      </c>
      <c r="Q24" s="9">
        <v>70</v>
      </c>
      <c r="R24" s="9">
        <v>70</v>
      </c>
      <c r="S24" s="9">
        <v>119</v>
      </c>
      <c r="T24" s="9">
        <v>142</v>
      </c>
      <c r="U24" s="9">
        <v>142</v>
      </c>
      <c r="V24" s="9">
        <v>142</v>
      </c>
      <c r="W24" s="9">
        <v>308</v>
      </c>
      <c r="X24" s="9">
        <v>308</v>
      </c>
      <c r="Y24" s="9">
        <v>308</v>
      </c>
    </row>
    <row r="25" spans="1:25">
      <c r="A25" s="5"/>
      <c r="B25" s="5">
        <v>8</v>
      </c>
      <c r="C25" s="9">
        <v>96</v>
      </c>
      <c r="E25" s="15" t="s">
        <v>23</v>
      </c>
      <c r="F25" s="9">
        <v>278</v>
      </c>
      <c r="G25" s="9">
        <v>278</v>
      </c>
      <c r="H25" s="9">
        <v>278</v>
      </c>
      <c r="I25" s="9">
        <v>239</v>
      </c>
      <c r="J25" s="9">
        <v>239</v>
      </c>
      <c r="K25" s="9">
        <v>239</v>
      </c>
      <c r="L25" s="9">
        <v>168</v>
      </c>
      <c r="M25" s="9">
        <v>136</v>
      </c>
      <c r="N25" s="9">
        <v>83</v>
      </c>
      <c r="O25" s="9">
        <v>62</v>
      </c>
      <c r="P25" s="9">
        <v>42</v>
      </c>
      <c r="Q25" s="9">
        <v>47</v>
      </c>
      <c r="R25" s="9">
        <v>47</v>
      </c>
      <c r="S25" s="9">
        <v>125</v>
      </c>
      <c r="T25" s="9">
        <v>118</v>
      </c>
      <c r="U25" s="9">
        <v>118</v>
      </c>
      <c r="V25" s="9">
        <v>118</v>
      </c>
      <c r="W25" s="9">
        <v>213</v>
      </c>
      <c r="X25" s="9">
        <v>213</v>
      </c>
      <c r="Y25" s="9">
        <v>213</v>
      </c>
    </row>
    <row r="26" spans="1:25">
      <c r="A26" s="5"/>
      <c r="B26" s="5"/>
      <c r="C26" s="9">
        <v>96</v>
      </c>
      <c r="E26" s="15" t="s">
        <v>24</v>
      </c>
      <c r="F26" s="9">
        <v>306</v>
      </c>
      <c r="G26" s="9">
        <v>306</v>
      </c>
      <c r="H26" s="9">
        <v>306</v>
      </c>
      <c r="I26" s="9">
        <v>223</v>
      </c>
      <c r="J26" s="9">
        <v>223</v>
      </c>
      <c r="K26" s="9">
        <v>223</v>
      </c>
      <c r="L26" s="9">
        <v>167</v>
      </c>
      <c r="M26" s="9">
        <v>134</v>
      </c>
      <c r="N26" s="9">
        <v>82</v>
      </c>
      <c r="O26" s="9">
        <v>64</v>
      </c>
      <c r="P26" s="9">
        <v>53</v>
      </c>
      <c r="Q26" s="9">
        <v>54</v>
      </c>
      <c r="R26" s="9">
        <v>54</v>
      </c>
      <c r="S26" s="9">
        <v>146</v>
      </c>
      <c r="T26" s="9">
        <v>87</v>
      </c>
      <c r="U26" s="9">
        <v>87</v>
      </c>
      <c r="V26" s="9">
        <v>87</v>
      </c>
      <c r="W26" s="9">
        <v>85</v>
      </c>
      <c r="X26" s="9">
        <v>85</v>
      </c>
      <c r="Y26" s="9">
        <v>85</v>
      </c>
    </row>
    <row r="27" spans="1:25">
      <c r="A27" s="5"/>
      <c r="B27" s="5"/>
      <c r="C27" s="9">
        <v>96</v>
      </c>
      <c r="E27" s="15" t="s">
        <v>25</v>
      </c>
      <c r="F27" s="9">
        <v>96</v>
      </c>
      <c r="G27" s="9">
        <v>96</v>
      </c>
      <c r="H27" s="9">
        <v>96</v>
      </c>
      <c r="I27" s="9">
        <v>373</v>
      </c>
      <c r="J27" s="9">
        <v>373</v>
      </c>
      <c r="K27" s="9">
        <v>373</v>
      </c>
      <c r="L27" s="9">
        <v>340</v>
      </c>
      <c r="M27" s="9">
        <v>184</v>
      </c>
      <c r="N27" s="9">
        <v>97</v>
      </c>
      <c r="O27" s="9">
        <v>69</v>
      </c>
      <c r="P27" s="9">
        <v>52</v>
      </c>
      <c r="Q27" s="9">
        <v>52</v>
      </c>
      <c r="R27" s="9">
        <v>52</v>
      </c>
      <c r="S27" s="9">
        <v>80</v>
      </c>
      <c r="T27" s="9">
        <v>122</v>
      </c>
      <c r="U27" s="9">
        <v>122</v>
      </c>
      <c r="V27" s="9">
        <v>122</v>
      </c>
      <c r="W27" s="9">
        <v>208</v>
      </c>
      <c r="X27" s="9">
        <v>208</v>
      </c>
      <c r="Y27" s="9">
        <v>208</v>
      </c>
    </row>
    <row r="28" spans="1:25">
      <c r="A28" s="5"/>
      <c r="B28" s="5">
        <v>9</v>
      </c>
      <c r="C28" s="9">
        <v>262</v>
      </c>
      <c r="E28" s="15" t="s">
        <v>26</v>
      </c>
      <c r="F28" s="9">
        <v>195</v>
      </c>
      <c r="G28" s="9">
        <v>195</v>
      </c>
      <c r="H28" s="9">
        <v>195</v>
      </c>
      <c r="I28" s="9">
        <v>222</v>
      </c>
      <c r="J28" s="9">
        <v>222</v>
      </c>
      <c r="K28" s="9">
        <v>222</v>
      </c>
      <c r="L28" s="9">
        <v>163</v>
      </c>
      <c r="M28" s="9">
        <v>113</v>
      </c>
      <c r="N28" s="9">
        <v>72</v>
      </c>
      <c r="O28" s="9">
        <v>53</v>
      </c>
      <c r="P28" s="9">
        <v>42</v>
      </c>
      <c r="Q28" s="9">
        <v>38</v>
      </c>
      <c r="R28" s="9">
        <v>38</v>
      </c>
      <c r="S28" s="9">
        <v>91</v>
      </c>
      <c r="T28" s="9">
        <v>136</v>
      </c>
      <c r="U28" s="9">
        <v>136</v>
      </c>
      <c r="V28" s="9">
        <v>136</v>
      </c>
      <c r="W28" s="9">
        <v>69</v>
      </c>
      <c r="X28" s="9">
        <v>69</v>
      </c>
      <c r="Y28" s="9">
        <v>69</v>
      </c>
    </row>
    <row r="29" spans="1:25">
      <c r="A29" s="5"/>
      <c r="B29" s="5">
        <v>10</v>
      </c>
      <c r="C29" s="9">
        <v>300</v>
      </c>
      <c r="E29" s="15" t="s">
        <v>27</v>
      </c>
      <c r="F29" s="9">
        <v>243</v>
      </c>
      <c r="G29" s="9">
        <v>243</v>
      </c>
      <c r="H29" s="9">
        <v>243</v>
      </c>
      <c r="I29" s="9">
        <v>222</v>
      </c>
      <c r="J29" s="9">
        <v>222</v>
      </c>
      <c r="K29" s="9">
        <v>222</v>
      </c>
      <c r="L29" s="9">
        <v>130</v>
      </c>
      <c r="M29" s="9">
        <v>90</v>
      </c>
      <c r="N29" s="9">
        <v>74</v>
      </c>
      <c r="O29" s="9">
        <v>68</v>
      </c>
      <c r="P29" s="9">
        <v>57</v>
      </c>
      <c r="Q29" s="9">
        <v>47</v>
      </c>
      <c r="R29" s="9">
        <v>47</v>
      </c>
      <c r="S29" s="9">
        <v>102</v>
      </c>
      <c r="T29" s="9">
        <v>217</v>
      </c>
      <c r="U29" s="9">
        <v>217</v>
      </c>
      <c r="V29" s="9">
        <v>217</v>
      </c>
      <c r="W29" s="9">
        <v>141</v>
      </c>
      <c r="X29" s="9">
        <v>141</v>
      </c>
      <c r="Y29" s="9">
        <v>141</v>
      </c>
    </row>
    <row r="30" spans="1:25">
      <c r="A30" s="5"/>
      <c r="B30" s="5">
        <v>11</v>
      </c>
      <c r="C30" s="9">
        <v>132</v>
      </c>
      <c r="E30" s="15" t="s">
        <v>28</v>
      </c>
      <c r="F30" s="9">
        <v>179</v>
      </c>
      <c r="G30" s="9">
        <v>179</v>
      </c>
      <c r="H30" s="9">
        <v>179</v>
      </c>
      <c r="I30" s="9">
        <v>210</v>
      </c>
      <c r="J30" s="9">
        <v>210</v>
      </c>
      <c r="K30" s="9">
        <v>210</v>
      </c>
      <c r="L30" s="9">
        <v>198</v>
      </c>
      <c r="M30" s="9">
        <v>144</v>
      </c>
      <c r="N30" s="9">
        <v>92</v>
      </c>
      <c r="O30" s="9">
        <v>78</v>
      </c>
      <c r="P30" s="9">
        <v>60</v>
      </c>
      <c r="Q30" s="9">
        <v>49</v>
      </c>
      <c r="R30" s="9">
        <v>49</v>
      </c>
      <c r="S30" s="9">
        <v>40</v>
      </c>
      <c r="T30" s="9">
        <v>52</v>
      </c>
      <c r="U30" s="9">
        <v>52</v>
      </c>
      <c r="V30" s="9">
        <v>52</v>
      </c>
      <c r="W30" s="9">
        <v>147</v>
      </c>
      <c r="X30" s="9">
        <v>147</v>
      </c>
      <c r="Y30" s="9">
        <v>147</v>
      </c>
    </row>
    <row r="31" spans="1:25">
      <c r="A31" s="5"/>
      <c r="B31" s="5">
        <v>12</v>
      </c>
      <c r="C31" s="9">
        <v>74</v>
      </c>
      <c r="E31" s="15" t="s">
        <v>29</v>
      </c>
      <c r="F31" s="9">
        <v>448</v>
      </c>
      <c r="G31" s="9">
        <v>448</v>
      </c>
      <c r="H31" s="9">
        <v>448</v>
      </c>
      <c r="I31" s="9">
        <v>244</v>
      </c>
      <c r="J31" s="9">
        <v>244</v>
      </c>
      <c r="K31" s="9">
        <v>244</v>
      </c>
      <c r="L31" s="9">
        <v>152</v>
      </c>
      <c r="M31" s="9">
        <v>191</v>
      </c>
      <c r="N31" s="9">
        <v>100</v>
      </c>
      <c r="O31" s="9">
        <v>69</v>
      </c>
      <c r="P31" s="9">
        <v>54</v>
      </c>
      <c r="Q31" s="9">
        <v>49</v>
      </c>
      <c r="R31" s="9">
        <v>49</v>
      </c>
      <c r="S31" s="9">
        <v>67</v>
      </c>
      <c r="T31" s="9">
        <v>72</v>
      </c>
      <c r="U31" s="9">
        <v>72</v>
      </c>
      <c r="V31" s="9">
        <v>72</v>
      </c>
      <c r="W31" s="9">
        <v>193</v>
      </c>
      <c r="X31" s="9">
        <v>193</v>
      </c>
      <c r="Y31" s="9">
        <v>193</v>
      </c>
    </row>
    <row r="32" spans="1:25">
      <c r="A32" s="5"/>
      <c r="B32" s="5">
        <v>1</v>
      </c>
      <c r="C32" s="9">
        <v>54</v>
      </c>
      <c r="E32" s="15" t="s">
        <v>30</v>
      </c>
      <c r="F32" s="9">
        <v>92</v>
      </c>
      <c r="G32" s="9">
        <v>92</v>
      </c>
      <c r="H32" s="9">
        <v>92</v>
      </c>
      <c r="I32" s="9">
        <v>98</v>
      </c>
      <c r="J32" s="9">
        <v>98</v>
      </c>
      <c r="K32" s="9">
        <v>98</v>
      </c>
      <c r="L32" s="9">
        <v>157</v>
      </c>
      <c r="M32" s="9">
        <v>182</v>
      </c>
      <c r="N32" s="9">
        <v>98</v>
      </c>
      <c r="O32" s="9">
        <v>70</v>
      </c>
      <c r="P32" s="9">
        <v>48</v>
      </c>
      <c r="Q32" s="9">
        <v>49</v>
      </c>
      <c r="R32" s="9">
        <v>49</v>
      </c>
      <c r="S32" s="9">
        <v>49</v>
      </c>
      <c r="T32" s="9">
        <v>74</v>
      </c>
      <c r="U32" s="9">
        <v>74</v>
      </c>
      <c r="V32" s="9">
        <v>74</v>
      </c>
      <c r="W32" s="9">
        <v>101</v>
      </c>
      <c r="X32" s="9">
        <v>101</v>
      </c>
      <c r="Y32" s="9">
        <v>101</v>
      </c>
    </row>
    <row r="33" spans="1:25">
      <c r="A33" s="5"/>
      <c r="B33" s="5">
        <v>2</v>
      </c>
      <c r="C33" s="9">
        <v>56</v>
      </c>
      <c r="E33" s="15" t="s">
        <v>31</v>
      </c>
      <c r="F33" s="9">
        <v>126</v>
      </c>
      <c r="G33" s="9">
        <v>126</v>
      </c>
      <c r="H33" s="9">
        <v>126</v>
      </c>
      <c r="I33" s="9">
        <v>163</v>
      </c>
      <c r="J33" s="9">
        <v>163</v>
      </c>
      <c r="K33" s="9">
        <v>163</v>
      </c>
      <c r="L33" s="9">
        <v>286</v>
      </c>
      <c r="M33" s="9">
        <v>272</v>
      </c>
      <c r="N33" s="9">
        <v>132</v>
      </c>
      <c r="O33" s="9">
        <v>81</v>
      </c>
      <c r="P33" s="9">
        <v>56</v>
      </c>
      <c r="Q33" s="9">
        <v>56</v>
      </c>
      <c r="R33" s="9">
        <v>56</v>
      </c>
      <c r="S33" s="9">
        <v>52</v>
      </c>
      <c r="T33" s="9">
        <v>171</v>
      </c>
      <c r="U33" s="9">
        <v>171</v>
      </c>
      <c r="V33" s="9">
        <v>171</v>
      </c>
      <c r="W33" s="9">
        <v>207</v>
      </c>
      <c r="X33" s="9">
        <v>207</v>
      </c>
      <c r="Y33" s="9">
        <v>207</v>
      </c>
    </row>
    <row r="34" spans="1:25">
      <c r="A34" s="5"/>
      <c r="B34" s="5">
        <v>3</v>
      </c>
      <c r="C34" s="9">
        <v>56</v>
      </c>
      <c r="E34" s="15" t="s">
        <v>32</v>
      </c>
      <c r="F34" s="9">
        <v>111</v>
      </c>
      <c r="G34" s="9">
        <v>111</v>
      </c>
      <c r="H34" s="9">
        <v>111</v>
      </c>
      <c r="I34" s="9">
        <v>100</v>
      </c>
      <c r="J34" s="9">
        <v>100</v>
      </c>
      <c r="K34" s="9">
        <v>100</v>
      </c>
      <c r="L34" s="9">
        <v>89</v>
      </c>
      <c r="M34" s="9">
        <v>62</v>
      </c>
      <c r="N34" s="9">
        <v>44</v>
      </c>
      <c r="O34" s="9">
        <v>42</v>
      </c>
      <c r="P34" s="9">
        <v>25</v>
      </c>
      <c r="Q34" s="9">
        <v>40</v>
      </c>
      <c r="R34" s="9">
        <v>40</v>
      </c>
      <c r="S34" s="9">
        <v>41</v>
      </c>
      <c r="T34" s="9">
        <v>121</v>
      </c>
      <c r="U34" s="9">
        <v>121</v>
      </c>
      <c r="V34" s="9">
        <v>121</v>
      </c>
      <c r="W34" s="9">
        <v>55</v>
      </c>
      <c r="X34" s="9">
        <v>55</v>
      </c>
      <c r="Y34" s="9">
        <v>55</v>
      </c>
    </row>
    <row r="35" spans="1:25">
      <c r="A35" s="5"/>
      <c r="B35" s="5">
        <v>4</v>
      </c>
      <c r="C35" s="9">
        <v>95</v>
      </c>
      <c r="E35" s="15" t="s">
        <v>33</v>
      </c>
      <c r="F35" s="9">
        <v>145</v>
      </c>
      <c r="G35" s="9">
        <v>145</v>
      </c>
      <c r="H35" s="9">
        <v>145</v>
      </c>
      <c r="I35" s="9">
        <v>399</v>
      </c>
      <c r="J35" s="9">
        <v>399</v>
      </c>
      <c r="K35" s="9">
        <v>399</v>
      </c>
      <c r="L35" s="9">
        <v>365</v>
      </c>
      <c r="M35" s="9">
        <v>433</v>
      </c>
      <c r="N35" s="9">
        <v>166</v>
      </c>
      <c r="O35" s="9">
        <v>100</v>
      </c>
      <c r="P35" s="9">
        <v>57</v>
      </c>
      <c r="Q35" s="9">
        <v>59</v>
      </c>
      <c r="R35" s="9">
        <v>59</v>
      </c>
      <c r="S35" s="9">
        <v>56</v>
      </c>
      <c r="T35" s="9">
        <v>70</v>
      </c>
      <c r="U35" s="9">
        <v>70</v>
      </c>
      <c r="V35" s="9">
        <v>70</v>
      </c>
      <c r="W35" s="9">
        <v>95</v>
      </c>
      <c r="X35" s="9">
        <v>95</v>
      </c>
      <c r="Y35" s="9">
        <v>95</v>
      </c>
    </row>
    <row r="36" spans="1:25">
      <c r="A36" s="5"/>
      <c r="B36" s="5">
        <v>5</v>
      </c>
      <c r="C36" s="9">
        <v>175</v>
      </c>
      <c r="E36" s="15" t="s">
        <v>34</v>
      </c>
      <c r="F36" s="9">
        <v>213</v>
      </c>
      <c r="G36" s="9">
        <v>213</v>
      </c>
      <c r="H36" s="9">
        <v>213</v>
      </c>
      <c r="I36" s="9">
        <v>282</v>
      </c>
      <c r="J36" s="9">
        <v>282</v>
      </c>
      <c r="K36" s="9">
        <v>282</v>
      </c>
      <c r="L36" s="9">
        <v>234</v>
      </c>
      <c r="M36" s="9">
        <v>219</v>
      </c>
      <c r="N36" s="9">
        <v>117</v>
      </c>
      <c r="O36" s="9">
        <v>87</v>
      </c>
      <c r="P36" s="9">
        <v>67</v>
      </c>
      <c r="Q36" s="9">
        <v>66</v>
      </c>
      <c r="R36" s="9">
        <v>66</v>
      </c>
      <c r="S36" s="9">
        <v>122</v>
      </c>
      <c r="T36" s="9">
        <v>148</v>
      </c>
      <c r="U36" s="9">
        <v>148</v>
      </c>
      <c r="V36" s="9">
        <v>148</v>
      </c>
      <c r="W36" s="9">
        <v>171</v>
      </c>
      <c r="X36" s="9">
        <v>171</v>
      </c>
      <c r="Y36" s="9">
        <v>171</v>
      </c>
    </row>
    <row r="37" spans="1:25">
      <c r="A37" s="5"/>
      <c r="B37" s="5"/>
      <c r="C37" s="9">
        <v>175</v>
      </c>
      <c r="E37" s="15" t="s">
        <v>35</v>
      </c>
      <c r="F37" s="9">
        <v>267</v>
      </c>
      <c r="G37" s="9">
        <v>267</v>
      </c>
      <c r="H37" s="9">
        <v>267</v>
      </c>
      <c r="I37" s="9">
        <v>238</v>
      </c>
      <c r="J37" s="9">
        <v>238</v>
      </c>
      <c r="K37" s="9">
        <v>238</v>
      </c>
      <c r="L37" s="9">
        <v>372</v>
      </c>
      <c r="M37" s="9">
        <v>570</v>
      </c>
      <c r="N37" s="9">
        <v>185</v>
      </c>
      <c r="O37" s="9">
        <v>102</v>
      </c>
      <c r="P37" s="10">
        <v>83</v>
      </c>
      <c r="Q37" s="10">
        <v>77</v>
      </c>
      <c r="R37" s="10">
        <v>77</v>
      </c>
      <c r="S37" s="10">
        <v>81</v>
      </c>
      <c r="T37" s="10">
        <v>114</v>
      </c>
      <c r="U37" s="10">
        <v>114</v>
      </c>
      <c r="V37" s="10">
        <v>114</v>
      </c>
      <c r="W37" s="10">
        <v>109</v>
      </c>
      <c r="X37" s="10">
        <v>109</v>
      </c>
      <c r="Y37" s="10">
        <v>109</v>
      </c>
    </row>
    <row r="38" spans="1:25">
      <c r="A38" s="5"/>
      <c r="B38" s="5"/>
      <c r="C38" s="9">
        <v>175</v>
      </c>
      <c r="E38" s="15" t="s">
        <v>36</v>
      </c>
      <c r="F38" s="10">
        <v>135</v>
      </c>
      <c r="G38" s="10">
        <v>135</v>
      </c>
      <c r="H38" s="10">
        <v>135</v>
      </c>
      <c r="I38" s="10">
        <v>180</v>
      </c>
      <c r="J38" s="10">
        <v>180</v>
      </c>
      <c r="K38" s="10">
        <v>180</v>
      </c>
      <c r="L38" s="10">
        <v>300</v>
      </c>
      <c r="M38" s="10">
        <v>193</v>
      </c>
      <c r="N38" s="10">
        <v>115</v>
      </c>
      <c r="O38" s="10">
        <v>79</v>
      </c>
      <c r="P38" s="11">
        <v>66.92</v>
      </c>
      <c r="Q38" s="11">
        <v>56.58</v>
      </c>
      <c r="R38" s="11">
        <v>56.37</v>
      </c>
      <c r="S38" s="11">
        <v>56.63</v>
      </c>
      <c r="T38" s="11">
        <v>72.41</v>
      </c>
      <c r="U38" s="11">
        <v>72.41</v>
      </c>
      <c r="V38" s="11">
        <v>72.41</v>
      </c>
      <c r="W38" s="11">
        <v>195.95</v>
      </c>
      <c r="X38" s="11">
        <v>195.95</v>
      </c>
      <c r="Y38" s="11">
        <v>195.95</v>
      </c>
    </row>
    <row r="39" spans="1:25">
      <c r="A39" s="5"/>
      <c r="B39" s="5">
        <v>6</v>
      </c>
      <c r="C39" s="9">
        <v>194</v>
      </c>
      <c r="E39" s="15" t="s">
        <v>37</v>
      </c>
      <c r="F39" s="11">
        <v>252.4</v>
      </c>
      <c r="G39" s="11">
        <v>252.4</v>
      </c>
      <c r="H39" s="11">
        <v>252.4</v>
      </c>
      <c r="I39" s="11">
        <v>200.6</v>
      </c>
      <c r="J39" s="11">
        <v>200.6</v>
      </c>
      <c r="K39" s="11">
        <v>200.6</v>
      </c>
      <c r="L39" s="11">
        <v>317.3</v>
      </c>
      <c r="M39" s="11">
        <v>450.3</v>
      </c>
      <c r="N39" s="11">
        <v>190.31</v>
      </c>
      <c r="O39" s="11">
        <v>115.6</v>
      </c>
      <c r="P39" s="11">
        <v>58.8</v>
      </c>
      <c r="Q39" s="11">
        <v>79.3</v>
      </c>
      <c r="R39" s="11">
        <v>84.9</v>
      </c>
      <c r="S39" s="11">
        <v>99.7</v>
      </c>
      <c r="T39" s="11">
        <v>79.8</v>
      </c>
      <c r="U39" s="11">
        <v>79.8</v>
      </c>
      <c r="V39" s="11">
        <v>79.8</v>
      </c>
      <c r="W39" s="11">
        <v>79</v>
      </c>
      <c r="X39" s="11">
        <v>79</v>
      </c>
      <c r="Y39" s="11">
        <v>79</v>
      </c>
    </row>
    <row r="40" spans="1:25">
      <c r="A40" s="5"/>
      <c r="B40" s="5"/>
      <c r="C40" s="9">
        <v>194</v>
      </c>
      <c r="E40" s="15" t="s">
        <v>38</v>
      </c>
      <c r="F40" s="11">
        <v>112.55</v>
      </c>
      <c r="G40" s="11">
        <v>112.55</v>
      </c>
      <c r="H40" s="11">
        <v>112.55</v>
      </c>
      <c r="I40" s="11">
        <v>220</v>
      </c>
      <c r="J40" s="11">
        <v>220</v>
      </c>
      <c r="K40" s="11">
        <v>220</v>
      </c>
      <c r="L40" s="11">
        <v>232.4</v>
      </c>
      <c r="M40" s="11">
        <v>229.5</v>
      </c>
      <c r="N40" s="11">
        <v>198.74</v>
      </c>
      <c r="O40" s="11">
        <v>150</v>
      </c>
      <c r="P40" s="11">
        <v>40.6</v>
      </c>
      <c r="Q40" s="11">
        <v>51.5</v>
      </c>
      <c r="R40" s="11">
        <v>66.3</v>
      </c>
      <c r="S40" s="11">
        <v>108</v>
      </c>
      <c r="T40" s="11">
        <v>135.19999999999999</v>
      </c>
      <c r="U40" s="11">
        <v>135.19999999999999</v>
      </c>
      <c r="V40" s="11">
        <v>135.19999999999999</v>
      </c>
      <c r="W40" s="11">
        <v>104.2</v>
      </c>
      <c r="X40" s="11">
        <v>104.2</v>
      </c>
      <c r="Y40" s="11">
        <v>104.2</v>
      </c>
    </row>
    <row r="41" spans="1:25">
      <c r="A41" s="5"/>
      <c r="B41" s="5"/>
      <c r="C41" s="9">
        <v>194</v>
      </c>
      <c r="E41" s="15" t="s">
        <v>39</v>
      </c>
      <c r="F41" s="11">
        <v>144.9</v>
      </c>
      <c r="G41" s="11">
        <v>144.9</v>
      </c>
      <c r="H41" s="11">
        <v>144.9</v>
      </c>
      <c r="I41" s="11">
        <f>168+40.7</f>
        <v>208.7</v>
      </c>
      <c r="J41" s="11">
        <f>168+40.7</f>
        <v>208.7</v>
      </c>
      <c r="K41" s="11">
        <f>168+40.7</f>
        <v>208.7</v>
      </c>
      <c r="L41" s="11">
        <v>270</v>
      </c>
      <c r="M41" s="11">
        <v>130.5</v>
      </c>
      <c r="N41" s="11">
        <v>129.9</v>
      </c>
      <c r="O41" s="11">
        <v>166.3</v>
      </c>
      <c r="P41" s="11">
        <v>53.29</v>
      </c>
      <c r="Q41" s="11">
        <v>52.2</v>
      </c>
      <c r="R41" s="11">
        <v>55.96</v>
      </c>
      <c r="S41" s="11">
        <v>60.96</v>
      </c>
      <c r="T41" s="11">
        <v>106.3</v>
      </c>
      <c r="U41" s="11">
        <v>106.3</v>
      </c>
      <c r="V41" s="11">
        <v>106.3</v>
      </c>
      <c r="W41" s="11">
        <v>142.29</v>
      </c>
      <c r="X41" s="11">
        <v>142.29</v>
      </c>
      <c r="Y41" s="11">
        <v>142.29</v>
      </c>
    </row>
    <row r="42" spans="1:25">
      <c r="A42" s="5">
        <v>1972</v>
      </c>
      <c r="B42" s="5">
        <v>7</v>
      </c>
      <c r="C42" s="9">
        <v>238</v>
      </c>
      <c r="E42" s="15" t="s">
        <v>40</v>
      </c>
      <c r="F42" s="11">
        <v>155.80000000000001</v>
      </c>
      <c r="G42" s="11">
        <v>155.80000000000001</v>
      </c>
      <c r="H42" s="11">
        <v>155.80000000000001</v>
      </c>
      <c r="I42" s="11">
        <v>160.97999999999999</v>
      </c>
      <c r="J42" s="11">
        <v>160.97999999999999</v>
      </c>
      <c r="K42" s="11">
        <v>160.97999999999999</v>
      </c>
      <c r="L42" s="11">
        <v>133.69999999999999</v>
      </c>
      <c r="M42" s="11">
        <v>141.5</v>
      </c>
      <c r="N42" s="11">
        <v>178</v>
      </c>
      <c r="O42" s="11">
        <v>192</v>
      </c>
      <c r="P42" s="11">
        <v>64.358709677419299</v>
      </c>
      <c r="Q42" s="11">
        <v>50.907499999999999</v>
      </c>
      <c r="R42" s="11">
        <v>47.865161290322597</v>
      </c>
      <c r="S42" s="11">
        <v>46.99</v>
      </c>
      <c r="T42" s="11">
        <v>77.149677419354802</v>
      </c>
      <c r="U42" s="11">
        <v>77.149677419354802</v>
      </c>
      <c r="V42" s="11">
        <v>77.149677419354802</v>
      </c>
      <c r="W42" s="11">
        <v>93.744666666666703</v>
      </c>
      <c r="X42" s="11">
        <v>93.744666666666703</v>
      </c>
      <c r="Y42" s="11">
        <v>93.744666666666703</v>
      </c>
    </row>
    <row r="43" spans="1:25">
      <c r="A43" s="5"/>
      <c r="B43" s="5"/>
      <c r="C43" s="9">
        <v>238</v>
      </c>
      <c r="E43" s="15" t="s">
        <v>41</v>
      </c>
      <c r="F43" s="11">
        <v>208.593548387097</v>
      </c>
      <c r="G43" s="11">
        <v>208.593548387097</v>
      </c>
      <c r="H43" s="11">
        <v>208.593548387097</v>
      </c>
      <c r="I43" s="11">
        <v>133.93870967741901</v>
      </c>
      <c r="J43" s="11">
        <v>133.93870967741901</v>
      </c>
      <c r="K43" s="11">
        <v>133.93870967741901</v>
      </c>
      <c r="L43" s="11">
        <v>274.23666666666702</v>
      </c>
      <c r="M43" s="11">
        <v>218.53548387096799</v>
      </c>
      <c r="N43" s="11">
        <v>155.506666666667</v>
      </c>
      <c r="O43" s="11">
        <v>129.77419354838699</v>
      </c>
      <c r="P43" s="11">
        <v>70.255161290322604</v>
      </c>
      <c r="Q43" s="11">
        <v>67.546896551724103</v>
      </c>
      <c r="R43" s="11">
        <v>81.928064516128998</v>
      </c>
      <c r="S43" s="11">
        <v>93.836666666666702</v>
      </c>
      <c r="T43" s="11">
        <v>137.50322580645201</v>
      </c>
      <c r="U43" s="11">
        <v>137.50322580645201</v>
      </c>
      <c r="V43" s="11">
        <v>137.50322580645201</v>
      </c>
      <c r="W43" s="11">
        <v>155.22399999999999</v>
      </c>
      <c r="X43" s="11">
        <v>155.22399999999999</v>
      </c>
      <c r="Y43" s="11">
        <v>155.22399999999999</v>
      </c>
    </row>
    <row r="44" spans="1:25">
      <c r="A44" s="5"/>
      <c r="B44" s="5"/>
      <c r="C44" s="9">
        <v>238</v>
      </c>
      <c r="E44" s="15" t="s">
        <v>42</v>
      </c>
      <c r="F44" s="11">
        <v>261.12193548387103</v>
      </c>
      <c r="G44" s="11">
        <v>261.12193548387103</v>
      </c>
      <c r="H44" s="11">
        <v>261.12193548387103</v>
      </c>
      <c r="I44" s="11">
        <v>231.274838709677</v>
      </c>
      <c r="J44" s="11">
        <v>231.274838709677</v>
      </c>
      <c r="K44" s="11">
        <v>231.274838709677</v>
      </c>
      <c r="L44" s="11">
        <v>236.35533333333299</v>
      </c>
      <c r="M44" s="11">
        <v>196.815483870968</v>
      </c>
      <c r="N44" s="11">
        <v>146.77533333333301</v>
      </c>
      <c r="O44" s="11">
        <v>110.478064516129</v>
      </c>
      <c r="P44" s="11">
        <v>76.884193548387103</v>
      </c>
      <c r="Q44" s="11">
        <v>94.421428571428507</v>
      </c>
      <c r="R44" s="11">
        <v>112.51967741935501</v>
      </c>
      <c r="S44" s="11">
        <v>100.22199999999999</v>
      </c>
      <c r="T44" s="11">
        <v>173.89354838709701</v>
      </c>
      <c r="U44" s="11">
        <v>173.89354838709701</v>
      </c>
      <c r="V44" s="11">
        <v>173.89354838709701</v>
      </c>
      <c r="W44" s="11">
        <v>202.01333333333301</v>
      </c>
      <c r="X44" s="11">
        <v>202.01333333333301</v>
      </c>
      <c r="Y44" s="11">
        <v>202.01333333333301</v>
      </c>
    </row>
    <row r="45" spans="1:25">
      <c r="A45" s="5"/>
      <c r="B45" s="5">
        <v>8</v>
      </c>
      <c r="C45" s="9">
        <v>166</v>
      </c>
      <c r="E45" s="15" t="s">
        <v>43</v>
      </c>
      <c r="F45" s="11">
        <v>488.84838709677399</v>
      </c>
      <c r="G45" s="11">
        <v>488.84838709677399</v>
      </c>
      <c r="H45" s="11">
        <v>488.84838709677399</v>
      </c>
      <c r="I45" s="11">
        <v>390.64516129032302</v>
      </c>
      <c r="J45" s="11">
        <v>390.64516129032302</v>
      </c>
      <c r="K45" s="11">
        <v>390.64516129032302</v>
      </c>
      <c r="L45" s="11">
        <v>294.95</v>
      </c>
      <c r="M45" s="11">
        <v>139.55806451612901</v>
      </c>
      <c r="N45" s="11">
        <v>89.38</v>
      </c>
      <c r="O45" s="11">
        <v>70.089677419354899</v>
      </c>
      <c r="P45" s="11">
        <v>80.776774193548405</v>
      </c>
      <c r="Q45" s="11">
        <v>82.861785714285702</v>
      </c>
      <c r="R45" s="11">
        <v>121.815483870968</v>
      </c>
      <c r="S45" s="11">
        <v>132.86799999999999</v>
      </c>
      <c r="T45" s="11">
        <v>145.80000000000001</v>
      </c>
      <c r="U45" s="11">
        <v>145.80000000000001</v>
      </c>
      <c r="V45" s="11">
        <v>145.80000000000001</v>
      </c>
      <c r="W45" s="11">
        <v>150.5</v>
      </c>
      <c r="X45" s="11">
        <v>150.5</v>
      </c>
      <c r="Y45" s="11">
        <v>150.5</v>
      </c>
    </row>
    <row r="46" spans="1:25">
      <c r="A46" s="5"/>
      <c r="B46" s="5"/>
      <c r="C46" s="9">
        <v>166</v>
      </c>
      <c r="E46" s="15" t="s">
        <v>44</v>
      </c>
      <c r="F46" s="11">
        <v>172.064516129032</v>
      </c>
      <c r="G46" s="11">
        <v>172.064516129032</v>
      </c>
      <c r="H46" s="11">
        <v>172.064516129032</v>
      </c>
      <c r="I46" s="11">
        <v>177.56129032258099</v>
      </c>
      <c r="J46" s="11">
        <v>177.56129032258099</v>
      </c>
      <c r="K46" s="11">
        <v>177.56129032258099</v>
      </c>
      <c r="L46" s="11">
        <v>263.40333333333302</v>
      </c>
      <c r="M46" s="11">
        <v>267.89677419354803</v>
      </c>
      <c r="N46" s="11">
        <v>232.16</v>
      </c>
      <c r="O46" s="11">
        <v>131.09032258064499</v>
      </c>
      <c r="P46" s="11">
        <v>85.443225806451593</v>
      </c>
      <c r="Q46" s="11">
        <v>79.484642857142902</v>
      </c>
      <c r="R46" s="11">
        <v>62.120645161290298</v>
      </c>
      <c r="S46" s="11">
        <v>95.615333333333297</v>
      </c>
      <c r="T46" s="11">
        <v>131.66451612903199</v>
      </c>
      <c r="U46" s="11">
        <v>131.66451612903199</v>
      </c>
      <c r="V46" s="11">
        <v>131.66451612903199</v>
      </c>
      <c r="W46" s="11">
        <v>160.90033333333301</v>
      </c>
      <c r="X46" s="11">
        <v>160.90033333333301</v>
      </c>
      <c r="Y46" s="11">
        <v>160.90033333333301</v>
      </c>
    </row>
    <row r="47" spans="1:25">
      <c r="A47" s="5"/>
      <c r="B47" s="5"/>
      <c r="C47" s="9">
        <v>166</v>
      </c>
      <c r="E47" s="15" t="s">
        <v>45</v>
      </c>
      <c r="F47" s="11">
        <v>196.77096774193501</v>
      </c>
      <c r="G47" s="11">
        <v>196.77096774193501</v>
      </c>
      <c r="H47" s="11">
        <v>196.77096774193501</v>
      </c>
      <c r="I47" s="11">
        <v>127.583870967742</v>
      </c>
      <c r="J47" s="11">
        <v>127.583870967742</v>
      </c>
      <c r="K47" s="11">
        <v>127.583870967742</v>
      </c>
      <c r="L47" s="11">
        <v>98.451839080459806</v>
      </c>
      <c r="M47" s="11">
        <v>96.116129032258101</v>
      </c>
      <c r="N47" s="11">
        <v>81.133333333333297</v>
      </c>
      <c r="O47" s="11">
        <v>87.7870967741935</v>
      </c>
      <c r="P47" s="11">
        <v>45.459225806451599</v>
      </c>
      <c r="Q47" s="11">
        <v>34.490657635467997</v>
      </c>
      <c r="R47" s="11">
        <v>47.611612903225797</v>
      </c>
      <c r="S47" s="11">
        <v>86.754400000000004</v>
      </c>
      <c r="T47" s="11">
        <v>98.8504516129032</v>
      </c>
      <c r="U47" s="11">
        <v>98.8504516129032</v>
      </c>
      <c r="V47" s="11">
        <v>98.8504516129032</v>
      </c>
      <c r="W47" s="11">
        <v>156.99246666666701</v>
      </c>
      <c r="X47" s="11">
        <v>156.99246666666701</v>
      </c>
      <c r="Y47" s="11">
        <v>156.99246666666701</v>
      </c>
    </row>
    <row r="48" spans="1:25">
      <c r="A48" s="5"/>
      <c r="B48" s="5">
        <v>9</v>
      </c>
      <c r="C48" s="9">
        <v>180</v>
      </c>
      <c r="E48" s="45" t="s">
        <v>119</v>
      </c>
      <c r="F48" s="48">
        <v>143.50645161290299</v>
      </c>
      <c r="G48" s="48">
        <v>143.50645161290299</v>
      </c>
      <c r="H48" s="48">
        <v>143.50645161290299</v>
      </c>
      <c r="I48" s="48">
        <v>128.04193548387099</v>
      </c>
      <c r="J48" s="48">
        <v>128.04193548387099</v>
      </c>
      <c r="K48" s="48">
        <v>128.04193548387099</v>
      </c>
      <c r="L48" s="45">
        <v>160.88</v>
      </c>
      <c r="M48" s="48">
        <v>171.777419354839</v>
      </c>
      <c r="N48" s="48">
        <v>139.06333333333399</v>
      </c>
      <c r="O48" s="45">
        <v>119.748387096774</v>
      </c>
      <c r="P48" s="48">
        <v>44.7822580645161</v>
      </c>
      <c r="Q48" s="48">
        <v>28.3717857142857</v>
      </c>
      <c r="R48" s="45">
        <v>58.408387096774199</v>
      </c>
      <c r="S48" s="48">
        <v>101.791333333333</v>
      </c>
      <c r="T48" s="48">
        <v>130.40967741935501</v>
      </c>
      <c r="U48" s="48">
        <v>130.40967741935501</v>
      </c>
      <c r="V48" s="48">
        <v>130.40967741935501</v>
      </c>
      <c r="W48" s="45">
        <v>181.30666666666599</v>
      </c>
      <c r="X48" s="45">
        <v>181.30666666666599</v>
      </c>
      <c r="Y48" s="45">
        <v>181.30666666666599</v>
      </c>
    </row>
    <row r="49" spans="1:25">
      <c r="A49" s="5"/>
      <c r="B49" s="5">
        <v>10</v>
      </c>
      <c r="C49" s="9">
        <v>106</v>
      </c>
      <c r="E49" s="45" t="s">
        <v>120</v>
      </c>
      <c r="F49" s="48">
        <v>155.80129032258</v>
      </c>
      <c r="G49" s="48">
        <v>155.80129032258</v>
      </c>
      <c r="H49" s="48">
        <v>155.80129032258</v>
      </c>
      <c r="I49" s="48">
        <v>141.16129032258101</v>
      </c>
      <c r="J49" s="48">
        <v>141.16129032258101</v>
      </c>
      <c r="K49" s="48">
        <v>141.16129032258101</v>
      </c>
      <c r="L49" s="45">
        <v>248.77666666666599</v>
      </c>
      <c r="M49" s="48">
        <v>335.57741935483801</v>
      </c>
      <c r="N49" s="48">
        <v>146.75333333333401</v>
      </c>
      <c r="O49" s="45">
        <v>105.412903225807</v>
      </c>
      <c r="P49" s="48">
        <v>89.144605116796399</v>
      </c>
      <c r="Q49" s="48">
        <v>78.349999999999994</v>
      </c>
      <c r="R49" s="45">
        <v>74.229032258064606</v>
      </c>
      <c r="S49" s="48">
        <v>127.076666666666</v>
      </c>
      <c r="T49" s="48">
        <v>190.370967741935</v>
      </c>
      <c r="U49" s="48">
        <v>190.370967741935</v>
      </c>
      <c r="V49" s="48">
        <v>190.370967741935</v>
      </c>
      <c r="W49" s="45">
        <v>246.91333333333299</v>
      </c>
      <c r="X49" s="45">
        <v>246.91333333333299</v>
      </c>
      <c r="Y49" s="45">
        <v>246.91333333333299</v>
      </c>
    </row>
    <row r="50" spans="1:25">
      <c r="A50" s="5"/>
      <c r="B50" s="5">
        <v>11</v>
      </c>
      <c r="C50" s="9">
        <v>63</v>
      </c>
      <c r="E50" s="45" t="s">
        <v>121</v>
      </c>
      <c r="F50" s="48">
        <v>591.97459677419397</v>
      </c>
      <c r="G50" s="48">
        <v>591.97459677419397</v>
      </c>
      <c r="H50" s="48">
        <v>591.97459677419397</v>
      </c>
      <c r="I50" s="48">
        <v>520.12661290322603</v>
      </c>
      <c r="J50" s="48">
        <v>520.12661290322603</v>
      </c>
      <c r="K50" s="48">
        <v>520.12661290322603</v>
      </c>
      <c r="L50" s="45">
        <v>556.63333333333298</v>
      </c>
      <c r="M50" s="48">
        <v>277.67903225806498</v>
      </c>
      <c r="N50" s="48">
        <v>181.16</v>
      </c>
      <c r="O50" s="45">
        <v>119.01935483871</v>
      </c>
      <c r="P50" s="48">
        <v>96.109677419354895</v>
      </c>
      <c r="Q50" s="48">
        <v>91.132142857142895</v>
      </c>
      <c r="R50" s="45">
        <v>132.248387096774</v>
      </c>
      <c r="S50" s="48">
        <v>172.34333333333299</v>
      </c>
      <c r="T50" s="48">
        <v>262.63225806451601</v>
      </c>
      <c r="U50" s="48">
        <v>262.63225806451601</v>
      </c>
      <c r="V50" s="48">
        <v>262.63225806451601</v>
      </c>
      <c r="W50" s="45">
        <v>179.81333333333399</v>
      </c>
      <c r="X50" s="45">
        <v>179.81333333333399</v>
      </c>
      <c r="Y50" s="45">
        <v>179.81333333333399</v>
      </c>
    </row>
    <row r="51" spans="1:25">
      <c r="A51" s="5"/>
      <c r="B51" s="5">
        <v>12</v>
      </c>
      <c r="C51" s="9">
        <v>48</v>
      </c>
      <c r="E51" s="45" t="s">
        <v>122</v>
      </c>
      <c r="F51" s="48">
        <v>301.85698924731201</v>
      </c>
      <c r="G51" s="48">
        <v>301.85698924731201</v>
      </c>
      <c r="H51" s="48">
        <v>301.85698924731201</v>
      </c>
      <c r="I51" s="48">
        <v>303.98494623655898</v>
      </c>
      <c r="J51" s="48">
        <v>303.98494623655898</v>
      </c>
      <c r="K51" s="48">
        <v>303.98494623655898</v>
      </c>
      <c r="L51" s="45">
        <v>338.74516129032298</v>
      </c>
      <c r="M51" s="48">
        <v>275.35806451612899</v>
      </c>
      <c r="N51" s="48">
        <v>216.666666666667</v>
      </c>
      <c r="O51" s="45">
        <v>138.777419354839</v>
      </c>
      <c r="P51" s="48">
        <v>112.13225806451599</v>
      </c>
      <c r="Q51" s="48">
        <v>81.6172413793103</v>
      </c>
      <c r="R51" s="45">
        <v>87.651612903225796</v>
      </c>
      <c r="S51" s="48">
        <v>140.84666666666701</v>
      </c>
      <c r="T51" s="48">
        <v>220.54516129032299</v>
      </c>
      <c r="U51" s="48">
        <v>220.54516129032299</v>
      </c>
      <c r="V51" s="48">
        <v>220.54516129032299</v>
      </c>
      <c r="W51" s="45">
        <v>243.78666666666601</v>
      </c>
      <c r="X51" s="45">
        <v>243.78666666666601</v>
      </c>
      <c r="Y51" s="45">
        <v>243.78666666666601</v>
      </c>
    </row>
    <row r="52" spans="1:25">
      <c r="A52" s="5"/>
      <c r="B52" s="5">
        <v>1</v>
      </c>
      <c r="C52" s="9">
        <v>42</v>
      </c>
      <c r="E52" s="45" t="s">
        <v>123</v>
      </c>
      <c r="F52" s="48">
        <v>490.16746031746101</v>
      </c>
      <c r="G52" s="48">
        <v>490.16746031746101</v>
      </c>
      <c r="H52" s="48">
        <v>490.16746031746101</v>
      </c>
      <c r="I52" s="48">
        <v>669.47111969111904</v>
      </c>
      <c r="J52" s="48">
        <v>669.47111969111904</v>
      </c>
      <c r="K52" s="48">
        <v>669.47111969111904</v>
      </c>
      <c r="L52" s="45">
        <v>364.2</v>
      </c>
      <c r="M52" s="48">
        <v>376.38387096774198</v>
      </c>
      <c r="N52" s="48">
        <v>226.43</v>
      </c>
      <c r="O52" s="45">
        <v>206.48064516129099</v>
      </c>
      <c r="P52" s="48">
        <v>139.42258064516099</v>
      </c>
      <c r="Q52" s="48">
        <v>73.892857142857096</v>
      </c>
      <c r="R52" s="45">
        <v>114.941935483872</v>
      </c>
      <c r="S52" s="48">
        <v>163.23666666666699</v>
      </c>
      <c r="T52" s="48">
        <v>205.741935483871</v>
      </c>
      <c r="U52" s="48">
        <v>205.741935483871</v>
      </c>
      <c r="V52" s="48">
        <v>205.741935483871</v>
      </c>
      <c r="W52" s="45">
        <v>114.183333333333</v>
      </c>
      <c r="X52" s="45">
        <v>114.183333333333</v>
      </c>
      <c r="Y52" s="45">
        <v>114.183333333333</v>
      </c>
    </row>
    <row r="53" spans="1:25">
      <c r="A53" s="5"/>
      <c r="B53" s="5">
        <v>2</v>
      </c>
      <c r="C53" s="9">
        <v>43</v>
      </c>
      <c r="E53" s="45" t="s">
        <v>124</v>
      </c>
      <c r="F53" s="48">
        <v>125.116129032258</v>
      </c>
      <c r="G53" s="48">
        <v>125.116129032258</v>
      </c>
      <c r="H53" s="48">
        <v>125.116129032258</v>
      </c>
      <c r="I53" s="48">
        <v>90.674193548387095</v>
      </c>
      <c r="J53" s="48">
        <v>90.674193548387095</v>
      </c>
      <c r="K53" s="48">
        <v>90.674193548387095</v>
      </c>
      <c r="L53" s="45">
        <v>81.263333333333307</v>
      </c>
      <c r="M53" s="48">
        <v>193.925806451613</v>
      </c>
      <c r="N53" s="48">
        <v>176.666666666667</v>
      </c>
      <c r="O53" s="45">
        <v>97.303870967742</v>
      </c>
      <c r="P53" s="48">
        <v>72.6925806451613</v>
      </c>
      <c r="Q53" s="48">
        <v>58.026071428571399</v>
      </c>
      <c r="R53" s="45">
        <v>72.642580645161303</v>
      </c>
      <c r="S53" s="48">
        <v>61.6013333333334</v>
      </c>
      <c r="T53" s="48">
        <v>110.228387096774</v>
      </c>
      <c r="U53" s="48">
        <v>110.228387096774</v>
      </c>
      <c r="V53" s="48">
        <v>110.228387096774</v>
      </c>
      <c r="W53" s="45">
        <v>74.0206666666666</v>
      </c>
      <c r="X53" s="45">
        <v>74.0206666666666</v>
      </c>
      <c r="Y53" s="45">
        <v>74.0206666666666</v>
      </c>
    </row>
    <row r="54" spans="1:25">
      <c r="A54" s="5"/>
      <c r="B54" s="5">
        <v>3</v>
      </c>
      <c r="C54" s="9">
        <v>43</v>
      </c>
      <c r="E54" s="4" t="s">
        <v>125</v>
      </c>
      <c r="F54" s="46">
        <v>80.532258064516199</v>
      </c>
      <c r="G54" s="46">
        <v>80.532258064516199</v>
      </c>
      <c r="H54" s="46">
        <v>80.532258064516199</v>
      </c>
      <c r="I54" s="46">
        <v>181.06542857142901</v>
      </c>
      <c r="J54" s="46">
        <v>181.06542857142901</v>
      </c>
      <c r="K54" s="46">
        <v>181.06542857142901</v>
      </c>
      <c r="L54" s="46">
        <v>181.06874999999999</v>
      </c>
      <c r="M54" s="46">
        <v>179.02903225806401</v>
      </c>
      <c r="N54" s="46">
        <v>103.874827586207</v>
      </c>
      <c r="O54" s="46">
        <v>109.888387096774</v>
      </c>
      <c r="P54" s="46">
        <v>73.247741935483901</v>
      </c>
      <c r="Q54" s="46">
        <v>70.438214285714295</v>
      </c>
      <c r="R54" s="46">
        <v>58.908763440860298</v>
      </c>
      <c r="S54" s="46">
        <v>63.000574712643697</v>
      </c>
      <c r="T54" s="46">
        <v>147.63483870967701</v>
      </c>
      <c r="U54" s="46">
        <v>147.63483870967701</v>
      </c>
      <c r="V54" s="46">
        <v>147.63483870967701</v>
      </c>
      <c r="W54" s="46">
        <v>247.14053763440899</v>
      </c>
      <c r="X54" s="46">
        <v>247.14053763440899</v>
      </c>
      <c r="Y54" s="46">
        <v>247.14053763440899</v>
      </c>
    </row>
    <row r="55" spans="1:25">
      <c r="A55" s="5"/>
      <c r="B55" s="5">
        <v>4</v>
      </c>
      <c r="C55" s="9">
        <v>57</v>
      </c>
      <c r="E55" s="4" t="s">
        <v>126</v>
      </c>
      <c r="F55" s="46">
        <v>246.27428571428601</v>
      </c>
      <c r="G55" s="46">
        <v>246.27428571428601</v>
      </c>
      <c r="H55" s="46">
        <v>246.27428571428601</v>
      </c>
      <c r="I55" s="46">
        <v>209.10493951612901</v>
      </c>
      <c r="J55" s="46">
        <v>209.10493951612901</v>
      </c>
      <c r="K55" s="46">
        <v>209.10493951612901</v>
      </c>
      <c r="L55" s="46">
        <v>220.09354838709601</v>
      </c>
      <c r="M55" s="46">
        <v>315.75635080645202</v>
      </c>
      <c r="N55" s="46">
        <v>203.97</v>
      </c>
      <c r="O55" s="46">
        <v>112.97419354838701</v>
      </c>
      <c r="P55" s="46">
        <v>91.609032258064502</v>
      </c>
      <c r="Q55" s="46">
        <v>82.075862068965606</v>
      </c>
      <c r="R55" s="46">
        <v>73.592258064516102</v>
      </c>
      <c r="S55" s="46">
        <v>139.22399999999999</v>
      </c>
      <c r="T55" s="46">
        <v>177.1</v>
      </c>
      <c r="U55" s="46">
        <v>177.1</v>
      </c>
      <c r="V55" s="46">
        <v>177.1</v>
      </c>
      <c r="W55" s="46">
        <v>185.32</v>
      </c>
      <c r="X55" s="46">
        <v>185.32</v>
      </c>
      <c r="Y55" s="46">
        <v>185.32</v>
      </c>
    </row>
    <row r="56" spans="1:25">
      <c r="A56" s="5"/>
      <c r="B56" s="5">
        <v>5</v>
      </c>
      <c r="C56" s="9">
        <v>190</v>
      </c>
    </row>
    <row r="57" spans="1:25">
      <c r="A57" s="5"/>
      <c r="B57" s="5"/>
      <c r="C57" s="9">
        <v>190</v>
      </c>
    </row>
    <row r="58" spans="1:25">
      <c r="A58" s="5"/>
      <c r="B58" s="5"/>
      <c r="C58" s="9">
        <v>190</v>
      </c>
    </row>
    <row r="59" spans="1:25">
      <c r="A59" s="5"/>
      <c r="B59" s="5">
        <v>6</v>
      </c>
      <c r="C59" s="9">
        <v>172</v>
      </c>
    </row>
    <row r="60" spans="1:25">
      <c r="A60" s="5"/>
      <c r="B60" s="5"/>
      <c r="C60" s="9">
        <v>172</v>
      </c>
    </row>
    <row r="61" spans="1:25">
      <c r="A61" s="5"/>
      <c r="B61" s="5"/>
      <c r="C61" s="9">
        <v>172</v>
      </c>
    </row>
    <row r="62" spans="1:25">
      <c r="A62" s="5">
        <v>1973</v>
      </c>
      <c r="B62" s="5">
        <v>7</v>
      </c>
      <c r="C62" s="9">
        <v>202</v>
      </c>
    </row>
    <row r="63" spans="1:25">
      <c r="A63" s="5"/>
      <c r="B63" s="5"/>
      <c r="C63" s="9">
        <v>202</v>
      </c>
    </row>
    <row r="64" spans="1:25">
      <c r="A64" s="5"/>
      <c r="B64" s="5"/>
      <c r="C64" s="9">
        <v>202</v>
      </c>
    </row>
    <row r="65" spans="1:3">
      <c r="A65" s="5"/>
      <c r="B65" s="5">
        <v>8</v>
      </c>
      <c r="C65" s="9">
        <v>520</v>
      </c>
    </row>
    <row r="66" spans="1:3">
      <c r="A66" s="5"/>
      <c r="B66" s="5"/>
      <c r="C66" s="9">
        <v>520</v>
      </c>
    </row>
    <row r="67" spans="1:3">
      <c r="A67" s="5"/>
      <c r="B67" s="5"/>
      <c r="C67" s="9">
        <v>520</v>
      </c>
    </row>
    <row r="68" spans="1:3">
      <c r="A68" s="5"/>
      <c r="B68" s="5">
        <v>9</v>
      </c>
      <c r="C68" s="9">
        <v>416</v>
      </c>
    </row>
    <row r="69" spans="1:3">
      <c r="A69" s="5"/>
      <c r="B69" s="5">
        <v>10</v>
      </c>
      <c r="C69" s="9">
        <v>310</v>
      </c>
    </row>
    <row r="70" spans="1:3">
      <c r="A70" s="5"/>
      <c r="B70" s="5">
        <v>11</v>
      </c>
      <c r="C70" s="9">
        <v>143</v>
      </c>
    </row>
    <row r="71" spans="1:3">
      <c r="A71" s="5"/>
      <c r="B71" s="5">
        <v>12</v>
      </c>
      <c r="C71" s="9">
        <v>84</v>
      </c>
    </row>
    <row r="72" spans="1:3">
      <c r="A72" s="5"/>
      <c r="B72" s="5">
        <v>1</v>
      </c>
      <c r="C72" s="9">
        <v>66</v>
      </c>
    </row>
    <row r="73" spans="1:3">
      <c r="A73" s="5"/>
      <c r="B73" s="5">
        <v>2</v>
      </c>
      <c r="C73" s="9">
        <v>63</v>
      </c>
    </row>
    <row r="74" spans="1:3">
      <c r="A74" s="5"/>
      <c r="B74" s="5">
        <v>3</v>
      </c>
      <c r="C74" s="9">
        <v>63</v>
      </c>
    </row>
    <row r="75" spans="1:3">
      <c r="A75" s="5"/>
      <c r="B75" s="5">
        <v>4</v>
      </c>
      <c r="C75" s="9">
        <v>111</v>
      </c>
    </row>
    <row r="76" spans="1:3">
      <c r="A76" s="5"/>
      <c r="B76" s="5">
        <v>5</v>
      </c>
      <c r="C76" s="9">
        <v>142</v>
      </c>
    </row>
    <row r="77" spans="1:3">
      <c r="A77" s="5"/>
      <c r="B77" s="5"/>
      <c r="C77" s="9">
        <v>142</v>
      </c>
    </row>
    <row r="78" spans="1:3">
      <c r="A78" s="5"/>
      <c r="B78" s="5"/>
      <c r="C78" s="9">
        <v>142</v>
      </c>
    </row>
    <row r="79" spans="1:3">
      <c r="A79" s="5"/>
      <c r="B79" s="5">
        <v>6</v>
      </c>
      <c r="C79" s="9">
        <v>116</v>
      </c>
    </row>
    <row r="80" spans="1:3">
      <c r="A80" s="5"/>
      <c r="B80" s="5"/>
      <c r="C80" s="9">
        <v>116</v>
      </c>
    </row>
    <row r="81" spans="1:3">
      <c r="A81" s="5"/>
      <c r="B81" s="5"/>
      <c r="C81" s="9">
        <v>116</v>
      </c>
    </row>
    <row r="82" spans="1:3">
      <c r="A82" s="5">
        <v>1974</v>
      </c>
      <c r="B82" s="5">
        <v>7</v>
      </c>
      <c r="C82" s="9">
        <v>108</v>
      </c>
    </row>
    <row r="83" spans="1:3">
      <c r="A83" s="5"/>
      <c r="B83" s="5"/>
      <c r="C83" s="9">
        <v>108</v>
      </c>
    </row>
    <row r="84" spans="1:3">
      <c r="A84" s="5"/>
      <c r="B84" s="5"/>
      <c r="C84" s="9">
        <v>108</v>
      </c>
    </row>
    <row r="85" spans="1:3">
      <c r="A85" s="5"/>
      <c r="B85" s="5">
        <v>8</v>
      </c>
      <c r="C85" s="9">
        <v>113</v>
      </c>
    </row>
    <row r="86" spans="1:3">
      <c r="A86" s="5"/>
      <c r="B86" s="5"/>
      <c r="C86" s="9">
        <v>113</v>
      </c>
    </row>
    <row r="87" spans="1:3">
      <c r="A87" s="5"/>
      <c r="B87" s="5"/>
      <c r="C87" s="9">
        <v>113</v>
      </c>
    </row>
    <row r="88" spans="1:3">
      <c r="A88" s="5"/>
      <c r="B88" s="5">
        <v>9</v>
      </c>
      <c r="C88" s="9">
        <v>225</v>
      </c>
    </row>
    <row r="89" spans="1:3">
      <c r="A89" s="5"/>
      <c r="B89" s="5">
        <v>10</v>
      </c>
      <c r="C89" s="9">
        <v>254</v>
      </c>
    </row>
    <row r="90" spans="1:3">
      <c r="A90" s="5"/>
      <c r="B90" s="5">
        <v>11</v>
      </c>
      <c r="C90" s="9">
        <v>113</v>
      </c>
    </row>
    <row r="91" spans="1:3">
      <c r="A91" s="5"/>
      <c r="B91" s="5">
        <v>12</v>
      </c>
      <c r="C91" s="9">
        <v>77</v>
      </c>
    </row>
    <row r="92" spans="1:3">
      <c r="A92" s="5"/>
      <c r="B92" s="5">
        <v>1</v>
      </c>
      <c r="C92" s="9">
        <v>54</v>
      </c>
    </row>
    <row r="93" spans="1:3">
      <c r="A93" s="5"/>
      <c r="B93" s="5">
        <v>2</v>
      </c>
      <c r="C93" s="9">
        <v>60</v>
      </c>
    </row>
    <row r="94" spans="1:3">
      <c r="A94" s="5"/>
      <c r="B94" s="5">
        <v>3</v>
      </c>
      <c r="C94" s="9">
        <v>60</v>
      </c>
    </row>
    <row r="95" spans="1:3">
      <c r="A95" s="5"/>
      <c r="B95" s="5">
        <v>4</v>
      </c>
      <c r="C95" s="9">
        <v>63</v>
      </c>
    </row>
    <row r="96" spans="1:3">
      <c r="A96" s="5"/>
      <c r="B96" s="5">
        <v>5</v>
      </c>
      <c r="C96" s="9">
        <v>197</v>
      </c>
    </row>
    <row r="97" spans="1:3">
      <c r="A97" s="5"/>
      <c r="B97" s="5"/>
      <c r="C97" s="9">
        <v>197</v>
      </c>
    </row>
    <row r="98" spans="1:3">
      <c r="A98" s="5"/>
      <c r="B98" s="5"/>
      <c r="C98" s="9">
        <v>197</v>
      </c>
    </row>
    <row r="99" spans="1:3">
      <c r="A99" s="5"/>
      <c r="B99" s="5">
        <v>6</v>
      </c>
      <c r="C99" s="9">
        <v>132</v>
      </c>
    </row>
    <row r="100" spans="1:3">
      <c r="A100" s="5"/>
      <c r="B100" s="5"/>
      <c r="C100" s="9">
        <v>132</v>
      </c>
    </row>
    <row r="101" spans="1:3">
      <c r="A101" s="5"/>
      <c r="B101" s="5"/>
      <c r="C101" s="9">
        <v>132</v>
      </c>
    </row>
    <row r="102" spans="1:3">
      <c r="A102" s="5">
        <v>1975</v>
      </c>
      <c r="B102" s="5">
        <v>7</v>
      </c>
      <c r="C102" s="9">
        <v>249</v>
      </c>
    </row>
    <row r="103" spans="1:3">
      <c r="A103" s="5"/>
      <c r="B103" s="5"/>
      <c r="C103" s="9">
        <v>249</v>
      </c>
    </row>
    <row r="104" spans="1:3">
      <c r="A104" s="5"/>
      <c r="B104" s="5"/>
      <c r="C104" s="9">
        <v>249</v>
      </c>
    </row>
    <row r="105" spans="1:3">
      <c r="A105" s="5"/>
      <c r="B105" s="5">
        <v>8</v>
      </c>
      <c r="C105" s="9">
        <v>293</v>
      </c>
    </row>
    <row r="106" spans="1:3">
      <c r="A106" s="5"/>
      <c r="B106" s="5"/>
      <c r="C106" s="9">
        <v>293</v>
      </c>
    </row>
    <row r="107" spans="1:3">
      <c r="A107" s="5"/>
      <c r="B107" s="5"/>
      <c r="C107" s="9">
        <v>293</v>
      </c>
    </row>
    <row r="108" spans="1:3">
      <c r="A108" s="5"/>
      <c r="B108" s="5">
        <v>9</v>
      </c>
      <c r="C108" s="9">
        <v>423</v>
      </c>
    </row>
    <row r="109" spans="1:3">
      <c r="A109" s="5"/>
      <c r="B109" s="5">
        <v>10</v>
      </c>
      <c r="C109" s="9">
        <v>471</v>
      </c>
    </row>
    <row r="110" spans="1:3">
      <c r="A110" s="5"/>
      <c r="B110" s="5">
        <v>11</v>
      </c>
      <c r="C110" s="9">
        <v>219</v>
      </c>
    </row>
    <row r="111" spans="1:3">
      <c r="A111" s="5"/>
      <c r="B111" s="5">
        <v>12</v>
      </c>
      <c r="C111" s="9">
        <v>92</v>
      </c>
    </row>
    <row r="112" spans="1:3">
      <c r="A112" s="5"/>
      <c r="B112" s="5">
        <v>1</v>
      </c>
      <c r="C112" s="9">
        <v>63</v>
      </c>
    </row>
    <row r="113" spans="1:3">
      <c r="A113" s="5"/>
      <c r="B113" s="5">
        <v>2</v>
      </c>
      <c r="C113" s="9">
        <v>65</v>
      </c>
    </row>
    <row r="114" spans="1:3">
      <c r="A114" s="5"/>
      <c r="B114" s="5">
        <v>3</v>
      </c>
      <c r="C114" s="9">
        <v>65</v>
      </c>
    </row>
    <row r="115" spans="1:3">
      <c r="A115" s="5"/>
      <c r="B115" s="5">
        <v>4</v>
      </c>
      <c r="C115" s="9">
        <v>134</v>
      </c>
    </row>
    <row r="116" spans="1:3">
      <c r="A116" s="5"/>
      <c r="B116" s="5">
        <v>5</v>
      </c>
      <c r="C116" s="9">
        <v>150</v>
      </c>
    </row>
    <row r="117" spans="1:3">
      <c r="A117" s="5"/>
      <c r="B117" s="5"/>
      <c r="C117" s="9">
        <v>150</v>
      </c>
    </row>
    <row r="118" spans="1:3">
      <c r="A118" s="5"/>
      <c r="B118" s="5"/>
      <c r="C118" s="9">
        <v>150</v>
      </c>
    </row>
    <row r="119" spans="1:3">
      <c r="A119" s="5"/>
      <c r="B119" s="5">
        <v>6</v>
      </c>
      <c r="C119" s="9">
        <v>324</v>
      </c>
    </row>
    <row r="120" spans="1:3">
      <c r="A120" s="5"/>
      <c r="B120" s="5"/>
      <c r="C120" s="9">
        <v>324</v>
      </c>
    </row>
    <row r="121" spans="1:3">
      <c r="A121" s="5"/>
      <c r="B121" s="5"/>
      <c r="C121" s="9">
        <v>324</v>
      </c>
    </row>
    <row r="122" spans="1:3">
      <c r="A122" s="5">
        <v>1976</v>
      </c>
      <c r="B122" s="5">
        <v>7</v>
      </c>
      <c r="C122" s="9">
        <v>288</v>
      </c>
    </row>
    <row r="123" spans="1:3">
      <c r="A123" s="5"/>
      <c r="B123" s="5"/>
      <c r="C123" s="9">
        <v>288</v>
      </c>
    </row>
    <row r="124" spans="1:3">
      <c r="A124" s="5"/>
      <c r="B124" s="5"/>
      <c r="C124" s="9">
        <v>288</v>
      </c>
    </row>
    <row r="125" spans="1:3">
      <c r="A125" s="5"/>
      <c r="B125" s="5">
        <v>8</v>
      </c>
      <c r="C125" s="9">
        <v>825</v>
      </c>
    </row>
    <row r="126" spans="1:3">
      <c r="A126" s="5"/>
      <c r="B126" s="5"/>
      <c r="C126" s="9">
        <v>825</v>
      </c>
    </row>
    <row r="127" spans="1:3">
      <c r="A127" s="5"/>
      <c r="B127" s="5"/>
      <c r="C127" s="9">
        <v>825</v>
      </c>
    </row>
    <row r="128" spans="1:3">
      <c r="A128" s="5"/>
      <c r="B128" s="5">
        <v>9</v>
      </c>
      <c r="C128" s="9">
        <v>597</v>
      </c>
    </row>
    <row r="129" spans="1:3">
      <c r="A129" s="5"/>
      <c r="B129" s="5">
        <v>10</v>
      </c>
      <c r="C129" s="9">
        <v>276</v>
      </c>
    </row>
    <row r="130" spans="1:3">
      <c r="A130" s="5"/>
      <c r="B130" s="5">
        <v>11</v>
      </c>
      <c r="C130" s="9">
        <v>141</v>
      </c>
    </row>
    <row r="131" spans="1:3">
      <c r="A131" s="5"/>
      <c r="B131" s="5">
        <v>12</v>
      </c>
      <c r="C131" s="9">
        <v>92</v>
      </c>
    </row>
    <row r="132" spans="1:3">
      <c r="A132" s="5"/>
      <c r="B132" s="5">
        <v>1</v>
      </c>
      <c r="C132" s="9">
        <v>68</v>
      </c>
    </row>
    <row r="133" spans="1:3">
      <c r="A133" s="5"/>
      <c r="B133" s="5">
        <v>2</v>
      </c>
      <c r="C133" s="9">
        <v>68</v>
      </c>
    </row>
    <row r="134" spans="1:3">
      <c r="A134" s="5"/>
      <c r="B134" s="5">
        <v>3</v>
      </c>
      <c r="C134" s="9">
        <v>68</v>
      </c>
    </row>
    <row r="135" spans="1:3">
      <c r="A135" s="5"/>
      <c r="B135" s="5">
        <v>4</v>
      </c>
      <c r="C135" s="9">
        <v>147</v>
      </c>
    </row>
    <row r="136" spans="1:3">
      <c r="A136" s="5"/>
      <c r="B136" s="5">
        <v>5</v>
      </c>
      <c r="C136" s="9">
        <v>267</v>
      </c>
    </row>
    <row r="137" spans="1:3">
      <c r="A137" s="5"/>
      <c r="B137" s="5"/>
      <c r="C137" s="9">
        <v>267</v>
      </c>
    </row>
    <row r="138" spans="1:3">
      <c r="A138" s="5"/>
      <c r="B138" s="5"/>
      <c r="C138" s="9">
        <v>267</v>
      </c>
    </row>
    <row r="139" spans="1:3">
      <c r="A139" s="5"/>
      <c r="B139" s="5">
        <v>6</v>
      </c>
      <c r="C139" s="9">
        <v>198</v>
      </c>
    </row>
    <row r="140" spans="1:3">
      <c r="A140" s="5"/>
      <c r="B140" s="5"/>
      <c r="C140" s="9">
        <v>198</v>
      </c>
    </row>
    <row r="141" spans="1:3">
      <c r="A141" s="5"/>
      <c r="B141" s="5"/>
      <c r="C141" s="9">
        <v>198</v>
      </c>
    </row>
    <row r="142" spans="1:3">
      <c r="A142" s="5">
        <v>1977</v>
      </c>
      <c r="B142" s="5">
        <v>7</v>
      </c>
      <c r="C142" s="9">
        <v>324</v>
      </c>
    </row>
    <row r="143" spans="1:3">
      <c r="A143" s="5"/>
      <c r="B143" s="5"/>
      <c r="C143" s="9">
        <v>324</v>
      </c>
    </row>
    <row r="144" spans="1:3">
      <c r="A144" s="5"/>
      <c r="B144" s="5"/>
      <c r="C144" s="9">
        <v>324</v>
      </c>
    </row>
    <row r="145" spans="1:3">
      <c r="A145" s="5"/>
      <c r="B145" s="5">
        <v>8</v>
      </c>
      <c r="C145" s="9">
        <v>293</v>
      </c>
    </row>
    <row r="146" spans="1:3">
      <c r="A146" s="5"/>
      <c r="B146" s="5"/>
      <c r="C146" s="9">
        <v>293</v>
      </c>
    </row>
    <row r="147" spans="1:3">
      <c r="A147" s="5"/>
      <c r="B147" s="5"/>
      <c r="C147" s="9">
        <v>293</v>
      </c>
    </row>
    <row r="148" spans="1:3">
      <c r="A148" s="5"/>
      <c r="B148" s="5">
        <v>9</v>
      </c>
      <c r="C148" s="9">
        <v>190</v>
      </c>
    </row>
    <row r="149" spans="1:3">
      <c r="A149" s="5"/>
      <c r="B149" s="5">
        <v>10</v>
      </c>
      <c r="C149" s="9">
        <v>145</v>
      </c>
    </row>
    <row r="150" spans="1:3">
      <c r="A150" s="5"/>
      <c r="B150" s="5">
        <v>11</v>
      </c>
      <c r="C150" s="9">
        <v>106</v>
      </c>
    </row>
    <row r="151" spans="1:3">
      <c r="A151" s="5"/>
      <c r="B151" s="5">
        <v>12</v>
      </c>
      <c r="C151" s="9">
        <v>78</v>
      </c>
    </row>
    <row r="152" spans="1:3">
      <c r="A152" s="5"/>
      <c r="B152" s="5">
        <v>1</v>
      </c>
      <c r="C152" s="9">
        <v>42</v>
      </c>
    </row>
    <row r="153" spans="1:3">
      <c r="A153" s="5"/>
      <c r="B153" s="5">
        <v>2</v>
      </c>
      <c r="C153" s="9">
        <v>39</v>
      </c>
    </row>
    <row r="154" spans="1:3">
      <c r="A154" s="5"/>
      <c r="B154" s="5">
        <v>3</v>
      </c>
      <c r="C154" s="9">
        <v>39</v>
      </c>
    </row>
    <row r="155" spans="1:3">
      <c r="A155" s="5"/>
      <c r="B155" s="5">
        <v>4</v>
      </c>
      <c r="C155" s="9">
        <v>123</v>
      </c>
    </row>
    <row r="156" spans="1:3">
      <c r="A156" s="5"/>
      <c r="B156" s="5">
        <v>5</v>
      </c>
      <c r="C156" s="9">
        <v>89</v>
      </c>
    </row>
    <row r="157" spans="1:3">
      <c r="A157" s="5"/>
      <c r="B157" s="5"/>
      <c r="C157" s="9">
        <v>89</v>
      </c>
    </row>
    <row r="158" spans="1:3">
      <c r="A158" s="5"/>
      <c r="B158" s="5"/>
      <c r="C158" s="9">
        <v>89</v>
      </c>
    </row>
    <row r="159" spans="1:3">
      <c r="A159" s="5"/>
      <c r="B159" s="5">
        <v>6</v>
      </c>
      <c r="C159" s="9">
        <v>218</v>
      </c>
    </row>
    <row r="160" spans="1:3">
      <c r="A160" s="5"/>
      <c r="B160" s="5"/>
      <c r="C160" s="9">
        <v>218</v>
      </c>
    </row>
    <row r="161" spans="1:3">
      <c r="A161" s="5"/>
      <c r="B161" s="5"/>
      <c r="C161" s="9">
        <v>218</v>
      </c>
    </row>
    <row r="162" spans="1:3">
      <c r="A162" s="5">
        <v>1978</v>
      </c>
      <c r="B162" s="5">
        <v>7</v>
      </c>
      <c r="C162" s="9">
        <v>248</v>
      </c>
    </row>
    <row r="163" spans="1:3">
      <c r="A163" s="5"/>
      <c r="B163" s="5"/>
      <c r="C163" s="9">
        <v>248</v>
      </c>
    </row>
    <row r="164" spans="1:3">
      <c r="A164" s="5"/>
      <c r="B164" s="5"/>
      <c r="C164" s="9">
        <v>248</v>
      </c>
    </row>
    <row r="165" spans="1:3">
      <c r="A165" s="5"/>
      <c r="B165" s="5">
        <v>8</v>
      </c>
      <c r="C165" s="9">
        <v>504</v>
      </c>
    </row>
    <row r="166" spans="1:3">
      <c r="A166" s="5"/>
      <c r="B166" s="5"/>
      <c r="C166" s="9">
        <v>504</v>
      </c>
    </row>
    <row r="167" spans="1:3">
      <c r="A167" s="5"/>
      <c r="B167" s="5"/>
      <c r="C167" s="9">
        <v>504</v>
      </c>
    </row>
    <row r="168" spans="1:3">
      <c r="A168" s="5"/>
      <c r="B168" s="5">
        <v>9</v>
      </c>
      <c r="C168" s="9">
        <v>986</v>
      </c>
    </row>
    <row r="169" spans="1:3">
      <c r="A169" s="5"/>
      <c r="B169" s="5">
        <v>10</v>
      </c>
      <c r="C169" s="9">
        <v>384</v>
      </c>
    </row>
    <row r="170" spans="1:3">
      <c r="A170" s="5"/>
      <c r="B170" s="5">
        <v>11</v>
      </c>
      <c r="C170" s="9">
        <v>209</v>
      </c>
    </row>
    <row r="171" spans="1:3">
      <c r="A171" s="5"/>
      <c r="B171" s="5">
        <v>12</v>
      </c>
      <c r="C171" s="9">
        <v>142</v>
      </c>
    </row>
    <row r="172" spans="1:3">
      <c r="A172" s="5"/>
      <c r="B172" s="5">
        <v>1</v>
      </c>
      <c r="C172" s="9">
        <v>92</v>
      </c>
    </row>
    <row r="173" spans="1:3">
      <c r="A173" s="5"/>
      <c r="B173" s="5">
        <v>2</v>
      </c>
      <c r="C173" s="9">
        <v>80</v>
      </c>
    </row>
    <row r="174" spans="1:3">
      <c r="A174" s="5"/>
      <c r="B174" s="5">
        <v>3</v>
      </c>
      <c r="C174" s="9">
        <v>80</v>
      </c>
    </row>
    <row r="175" spans="1:3">
      <c r="A175" s="5"/>
      <c r="B175" s="5">
        <v>4</v>
      </c>
      <c r="C175" s="9">
        <v>117</v>
      </c>
    </row>
    <row r="176" spans="1:3">
      <c r="A176" s="5"/>
      <c r="B176" s="5">
        <v>5</v>
      </c>
      <c r="C176" s="9">
        <v>84</v>
      </c>
    </row>
    <row r="177" spans="1:3">
      <c r="A177" s="5"/>
      <c r="B177" s="5"/>
      <c r="C177" s="9">
        <v>84</v>
      </c>
    </row>
    <row r="178" spans="1:3">
      <c r="A178" s="5"/>
      <c r="B178" s="5"/>
      <c r="C178" s="9">
        <v>84</v>
      </c>
    </row>
    <row r="179" spans="1:3">
      <c r="A179" s="5"/>
      <c r="B179" s="5">
        <v>6</v>
      </c>
      <c r="C179" s="9">
        <v>110</v>
      </c>
    </row>
    <row r="180" spans="1:3">
      <c r="A180" s="5"/>
      <c r="B180" s="5"/>
      <c r="C180" s="9">
        <v>110</v>
      </c>
    </row>
    <row r="181" spans="1:3">
      <c r="A181" s="5"/>
      <c r="B181" s="5"/>
      <c r="C181" s="9">
        <v>110</v>
      </c>
    </row>
    <row r="182" spans="1:3">
      <c r="A182" s="5">
        <v>1979</v>
      </c>
      <c r="B182" s="5">
        <v>7</v>
      </c>
      <c r="C182" s="9">
        <v>303</v>
      </c>
    </row>
    <row r="183" spans="1:3">
      <c r="A183" s="5"/>
      <c r="B183" s="5"/>
      <c r="C183" s="9">
        <v>303</v>
      </c>
    </row>
    <row r="184" spans="1:3">
      <c r="A184" s="5"/>
      <c r="B184" s="5"/>
      <c r="C184" s="9">
        <v>303</v>
      </c>
    </row>
    <row r="185" spans="1:3">
      <c r="A185" s="5"/>
      <c r="B185" s="5">
        <v>8</v>
      </c>
      <c r="C185" s="9">
        <v>833</v>
      </c>
    </row>
    <row r="186" spans="1:3">
      <c r="A186" s="5"/>
      <c r="B186" s="5"/>
      <c r="C186" s="9">
        <v>833</v>
      </c>
    </row>
    <row r="187" spans="1:3">
      <c r="A187" s="5"/>
      <c r="B187" s="5"/>
      <c r="C187" s="9">
        <v>833</v>
      </c>
    </row>
    <row r="188" spans="1:3">
      <c r="A188" s="5"/>
      <c r="B188" s="5">
        <v>9</v>
      </c>
      <c r="C188" s="9">
        <v>618</v>
      </c>
    </row>
    <row r="189" spans="1:3">
      <c r="A189" s="5"/>
      <c r="B189" s="5">
        <v>10</v>
      </c>
      <c r="C189" s="9">
        <v>352</v>
      </c>
    </row>
    <row r="190" spans="1:3">
      <c r="A190" s="5"/>
      <c r="B190" s="5">
        <v>11</v>
      </c>
      <c r="C190" s="9">
        <v>184</v>
      </c>
    </row>
    <row r="191" spans="1:3">
      <c r="A191" s="5"/>
      <c r="B191" s="5">
        <v>12</v>
      </c>
      <c r="C191" s="9">
        <v>121</v>
      </c>
    </row>
    <row r="192" spans="1:3">
      <c r="A192" s="5"/>
      <c r="B192" s="5">
        <v>1</v>
      </c>
      <c r="C192" s="9">
        <v>81</v>
      </c>
    </row>
    <row r="193" spans="1:3">
      <c r="A193" s="5"/>
      <c r="B193" s="5">
        <v>2</v>
      </c>
      <c r="C193" s="9">
        <v>77</v>
      </c>
    </row>
    <row r="194" spans="1:3">
      <c r="A194" s="5"/>
      <c r="B194" s="5">
        <v>3</v>
      </c>
      <c r="C194" s="9">
        <v>77</v>
      </c>
    </row>
    <row r="195" spans="1:3">
      <c r="A195" s="5"/>
      <c r="B195" s="5">
        <v>4</v>
      </c>
      <c r="C195" s="9">
        <v>111</v>
      </c>
    </row>
    <row r="196" spans="1:3">
      <c r="A196" s="5"/>
      <c r="B196" s="5">
        <v>5</v>
      </c>
      <c r="C196" s="9">
        <v>92</v>
      </c>
    </row>
    <row r="197" spans="1:3">
      <c r="A197" s="5"/>
      <c r="B197" s="5"/>
      <c r="C197" s="9">
        <v>92</v>
      </c>
    </row>
    <row r="198" spans="1:3">
      <c r="A198" s="5"/>
      <c r="B198" s="5"/>
      <c r="C198" s="9">
        <v>92</v>
      </c>
    </row>
    <row r="199" spans="1:3">
      <c r="A199" s="5"/>
      <c r="B199" s="5">
        <v>6</v>
      </c>
      <c r="C199" s="9">
        <v>131</v>
      </c>
    </row>
    <row r="200" spans="1:3">
      <c r="A200" s="4"/>
      <c r="B200" s="4"/>
      <c r="C200" s="9">
        <v>131</v>
      </c>
    </row>
    <row r="201" spans="1:3">
      <c r="A201" s="4"/>
      <c r="B201" s="4"/>
      <c r="C201" s="9">
        <v>131</v>
      </c>
    </row>
    <row r="202" spans="1:3">
      <c r="A202" s="5">
        <v>1980</v>
      </c>
      <c r="B202" s="5">
        <v>7</v>
      </c>
      <c r="C202" s="12">
        <v>225</v>
      </c>
    </row>
    <row r="203" spans="1:3">
      <c r="A203" s="5"/>
      <c r="B203" s="5"/>
      <c r="C203" s="12">
        <v>225</v>
      </c>
    </row>
    <row r="204" spans="1:3">
      <c r="A204" s="5"/>
      <c r="B204" s="5"/>
      <c r="C204" s="12">
        <v>225</v>
      </c>
    </row>
    <row r="205" spans="1:3">
      <c r="A205" s="5"/>
      <c r="B205" s="5">
        <v>8</v>
      </c>
      <c r="C205" s="9">
        <v>200</v>
      </c>
    </row>
    <row r="206" spans="1:3">
      <c r="A206" s="5"/>
      <c r="B206" s="5"/>
      <c r="C206" s="9">
        <v>200</v>
      </c>
    </row>
    <row r="207" spans="1:3">
      <c r="A207" s="5"/>
      <c r="B207" s="5"/>
      <c r="C207" s="9">
        <v>200</v>
      </c>
    </row>
    <row r="208" spans="1:3">
      <c r="A208" s="5"/>
      <c r="B208" s="5">
        <v>9</v>
      </c>
      <c r="C208" s="9">
        <v>275</v>
      </c>
    </row>
    <row r="209" spans="1:3">
      <c r="A209" s="5"/>
      <c r="B209" s="5">
        <v>10</v>
      </c>
      <c r="C209" s="9">
        <v>208</v>
      </c>
    </row>
    <row r="210" spans="1:3">
      <c r="A210" s="5"/>
      <c r="B210" s="5">
        <v>11</v>
      </c>
      <c r="C210" s="9">
        <v>105</v>
      </c>
    </row>
    <row r="211" spans="1:3">
      <c r="A211" s="5"/>
      <c r="B211" s="5">
        <v>12</v>
      </c>
      <c r="C211" s="9">
        <v>69</v>
      </c>
    </row>
    <row r="212" spans="1:3">
      <c r="A212" s="5"/>
      <c r="B212" s="5">
        <v>1</v>
      </c>
      <c r="C212" s="9">
        <v>46</v>
      </c>
    </row>
    <row r="213" spans="1:3">
      <c r="A213" s="5"/>
      <c r="B213" s="5">
        <v>2</v>
      </c>
      <c r="C213" s="9">
        <v>51</v>
      </c>
    </row>
    <row r="214" spans="1:3">
      <c r="A214" s="5"/>
      <c r="B214" s="5">
        <v>3</v>
      </c>
      <c r="C214" s="9">
        <v>51</v>
      </c>
    </row>
    <row r="215" spans="1:3">
      <c r="A215" s="5"/>
      <c r="B215" s="5">
        <v>4</v>
      </c>
      <c r="C215" s="9">
        <v>107</v>
      </c>
    </row>
    <row r="216" spans="1:3">
      <c r="A216" s="5"/>
      <c r="B216" s="5">
        <v>5</v>
      </c>
      <c r="C216" s="9">
        <v>60</v>
      </c>
    </row>
    <row r="217" spans="1:3">
      <c r="A217" s="5"/>
      <c r="B217" s="5"/>
      <c r="C217" s="9">
        <v>60</v>
      </c>
    </row>
    <row r="218" spans="1:3">
      <c r="A218" s="5"/>
      <c r="B218" s="5"/>
      <c r="C218" s="9">
        <v>60</v>
      </c>
    </row>
    <row r="219" spans="1:3">
      <c r="A219" s="5"/>
      <c r="B219" s="5">
        <v>6</v>
      </c>
      <c r="C219" s="9">
        <v>172</v>
      </c>
    </row>
    <row r="220" spans="1:3">
      <c r="A220" s="5"/>
      <c r="B220" s="5"/>
      <c r="C220" s="9">
        <v>172</v>
      </c>
    </row>
    <row r="221" spans="1:3">
      <c r="A221" s="5"/>
      <c r="B221" s="5"/>
      <c r="C221" s="9">
        <v>172</v>
      </c>
    </row>
    <row r="222" spans="1:3">
      <c r="A222" s="5">
        <v>1981</v>
      </c>
      <c r="B222" s="5">
        <v>7</v>
      </c>
      <c r="C222" s="9">
        <v>510</v>
      </c>
    </row>
    <row r="223" spans="1:3">
      <c r="A223" s="5"/>
      <c r="B223" s="5"/>
      <c r="C223" s="9">
        <v>510</v>
      </c>
    </row>
    <row r="224" spans="1:3">
      <c r="A224" s="5"/>
      <c r="B224" s="5"/>
      <c r="C224" s="9">
        <v>510</v>
      </c>
    </row>
    <row r="225" spans="1:3">
      <c r="A225" s="5"/>
      <c r="B225" s="5">
        <v>8</v>
      </c>
      <c r="C225" s="9">
        <v>318</v>
      </c>
    </row>
    <row r="226" spans="1:3">
      <c r="A226" s="5"/>
      <c r="B226" s="5"/>
      <c r="C226" s="9">
        <v>318</v>
      </c>
    </row>
    <row r="227" spans="1:3">
      <c r="A227" s="5"/>
      <c r="B227" s="5"/>
      <c r="C227" s="9">
        <v>318</v>
      </c>
    </row>
    <row r="228" spans="1:3">
      <c r="A228" s="5"/>
      <c r="B228" s="5">
        <v>9</v>
      </c>
      <c r="C228" s="9">
        <v>741</v>
      </c>
    </row>
    <row r="229" spans="1:3">
      <c r="A229" s="5"/>
      <c r="B229" s="5">
        <v>10</v>
      </c>
      <c r="C229" s="9">
        <v>357</v>
      </c>
    </row>
    <row r="230" spans="1:3">
      <c r="A230" s="5"/>
      <c r="B230" s="5">
        <v>11</v>
      </c>
      <c r="C230" s="9">
        <v>169</v>
      </c>
    </row>
    <row r="231" spans="1:3">
      <c r="A231" s="5"/>
      <c r="B231" s="5">
        <v>12</v>
      </c>
      <c r="C231" s="9">
        <v>100</v>
      </c>
    </row>
    <row r="232" spans="1:3">
      <c r="A232" s="5"/>
      <c r="B232" s="5">
        <v>1</v>
      </c>
      <c r="C232" s="9">
        <v>72</v>
      </c>
    </row>
    <row r="233" spans="1:3">
      <c r="A233" s="5"/>
      <c r="B233" s="5">
        <v>2</v>
      </c>
      <c r="C233" s="9">
        <v>75</v>
      </c>
    </row>
    <row r="234" spans="1:3">
      <c r="A234" s="5"/>
      <c r="B234" s="5">
        <v>3</v>
      </c>
      <c r="C234" s="9">
        <v>75</v>
      </c>
    </row>
    <row r="235" spans="1:3">
      <c r="A235" s="5"/>
      <c r="B235" s="5">
        <v>4</v>
      </c>
      <c r="C235" s="9">
        <v>209</v>
      </c>
    </row>
    <row r="236" spans="1:3">
      <c r="A236" s="5"/>
      <c r="B236" s="5">
        <v>5</v>
      </c>
      <c r="C236" s="9">
        <v>217</v>
      </c>
    </row>
    <row r="237" spans="1:3">
      <c r="A237" s="5"/>
      <c r="B237" s="5"/>
      <c r="C237" s="9">
        <v>217</v>
      </c>
    </row>
    <row r="238" spans="1:3">
      <c r="A238" s="5"/>
      <c r="B238" s="5"/>
      <c r="C238" s="9">
        <v>217</v>
      </c>
    </row>
    <row r="239" spans="1:3">
      <c r="A239" s="5"/>
      <c r="B239" s="5">
        <v>6</v>
      </c>
      <c r="C239" s="9">
        <v>173</v>
      </c>
    </row>
    <row r="240" spans="1:3">
      <c r="A240" s="5"/>
      <c r="B240" s="5"/>
      <c r="C240" s="9">
        <v>173</v>
      </c>
    </row>
    <row r="241" spans="1:3">
      <c r="A241" s="5"/>
      <c r="B241" s="5"/>
      <c r="C241" s="9">
        <v>173</v>
      </c>
    </row>
    <row r="242" spans="1:3">
      <c r="A242" s="5">
        <v>1982</v>
      </c>
      <c r="B242" s="5">
        <v>7</v>
      </c>
      <c r="C242" s="9">
        <v>155</v>
      </c>
    </row>
    <row r="243" spans="1:3">
      <c r="A243" s="5"/>
      <c r="B243" s="5"/>
      <c r="C243" s="9">
        <v>155</v>
      </c>
    </row>
    <row r="244" spans="1:3">
      <c r="A244" s="5"/>
      <c r="B244" s="5"/>
      <c r="C244" s="9">
        <v>155</v>
      </c>
    </row>
    <row r="245" spans="1:3">
      <c r="A245" s="5"/>
      <c r="B245" s="5">
        <v>8</v>
      </c>
      <c r="C245" s="9">
        <v>109</v>
      </c>
    </row>
    <row r="246" spans="1:3">
      <c r="A246" s="5"/>
      <c r="B246" s="5"/>
      <c r="C246" s="9">
        <v>109</v>
      </c>
    </row>
    <row r="247" spans="1:3">
      <c r="A247" s="5"/>
      <c r="B247" s="5"/>
      <c r="C247" s="9">
        <v>109</v>
      </c>
    </row>
    <row r="248" spans="1:3">
      <c r="A248" s="5"/>
      <c r="B248" s="5">
        <v>9</v>
      </c>
      <c r="C248" s="9">
        <v>294</v>
      </c>
    </row>
    <row r="249" spans="1:3">
      <c r="A249" s="5"/>
      <c r="B249" s="5">
        <v>10</v>
      </c>
      <c r="C249" s="9">
        <v>262</v>
      </c>
    </row>
    <row r="250" spans="1:3">
      <c r="A250" s="5"/>
      <c r="B250" s="5">
        <v>11</v>
      </c>
      <c r="C250" s="9">
        <v>133</v>
      </c>
    </row>
    <row r="251" spans="1:3">
      <c r="A251" s="5"/>
      <c r="B251" s="5">
        <v>12</v>
      </c>
      <c r="C251" s="9">
        <v>79</v>
      </c>
    </row>
    <row r="252" spans="1:3">
      <c r="A252" s="5"/>
      <c r="B252" s="5">
        <v>1</v>
      </c>
      <c r="C252" s="9">
        <v>56</v>
      </c>
    </row>
    <row r="253" spans="1:3">
      <c r="A253" s="5"/>
      <c r="B253" s="5">
        <v>2</v>
      </c>
      <c r="C253" s="9">
        <v>69</v>
      </c>
    </row>
    <row r="254" spans="1:3">
      <c r="A254" s="5"/>
      <c r="B254" s="5">
        <v>3</v>
      </c>
      <c r="C254" s="9">
        <v>69</v>
      </c>
    </row>
    <row r="255" spans="1:3">
      <c r="A255" s="5"/>
      <c r="B255" s="5">
        <v>4</v>
      </c>
      <c r="C255" s="9">
        <v>147</v>
      </c>
    </row>
    <row r="256" spans="1:3">
      <c r="A256" s="5"/>
      <c r="B256" s="5">
        <v>5</v>
      </c>
      <c r="C256" s="9">
        <v>199</v>
      </c>
    </row>
    <row r="257" spans="1:3">
      <c r="A257" s="5"/>
      <c r="B257" s="5"/>
      <c r="C257" s="9">
        <v>199</v>
      </c>
    </row>
    <row r="258" spans="1:3">
      <c r="A258" s="5"/>
      <c r="B258" s="5"/>
      <c r="C258" s="9">
        <v>199</v>
      </c>
    </row>
    <row r="259" spans="1:3">
      <c r="A259" s="5"/>
      <c r="B259" s="5">
        <v>6</v>
      </c>
      <c r="C259" s="9">
        <v>227</v>
      </c>
    </row>
    <row r="260" spans="1:3">
      <c r="A260" s="5"/>
      <c r="B260" s="5"/>
      <c r="C260" s="9">
        <v>227</v>
      </c>
    </row>
    <row r="261" spans="1:3">
      <c r="A261" s="5"/>
      <c r="B261" s="5"/>
      <c r="C261" s="9">
        <v>227</v>
      </c>
    </row>
    <row r="262" spans="1:3" ht="15" customHeight="1">
      <c r="A262" s="5">
        <v>1983</v>
      </c>
      <c r="B262" s="5">
        <v>7</v>
      </c>
      <c r="C262" s="9">
        <v>297</v>
      </c>
    </row>
    <row r="263" spans="1:3" ht="15" customHeight="1">
      <c r="A263" s="5"/>
      <c r="B263" s="5"/>
      <c r="C263" s="9">
        <v>297</v>
      </c>
    </row>
    <row r="264" spans="1:3" ht="15" customHeight="1">
      <c r="A264" s="5"/>
      <c r="B264" s="5"/>
      <c r="C264" s="9">
        <v>297</v>
      </c>
    </row>
    <row r="265" spans="1:3">
      <c r="A265" s="5"/>
      <c r="B265" s="5">
        <v>8</v>
      </c>
      <c r="C265" s="9">
        <v>270</v>
      </c>
    </row>
    <row r="266" spans="1:3">
      <c r="A266" s="5"/>
      <c r="B266" s="5"/>
      <c r="C266" s="9">
        <v>270</v>
      </c>
    </row>
    <row r="267" spans="1:3">
      <c r="A267" s="5"/>
      <c r="B267" s="5"/>
      <c r="C267" s="9">
        <v>270</v>
      </c>
    </row>
    <row r="268" spans="1:3">
      <c r="A268" s="5"/>
      <c r="B268" s="5">
        <v>9</v>
      </c>
      <c r="C268" s="9">
        <v>216</v>
      </c>
    </row>
    <row r="269" spans="1:3">
      <c r="A269" s="5"/>
      <c r="B269" s="5">
        <v>10</v>
      </c>
      <c r="C269" s="9">
        <v>367</v>
      </c>
    </row>
    <row r="270" spans="1:3">
      <c r="A270" s="5"/>
      <c r="B270" s="5">
        <v>11</v>
      </c>
      <c r="C270" s="9">
        <v>178</v>
      </c>
    </row>
    <row r="271" spans="1:3">
      <c r="A271" s="5"/>
      <c r="B271" s="5">
        <v>12</v>
      </c>
      <c r="C271" s="9">
        <v>103</v>
      </c>
    </row>
    <row r="272" spans="1:3">
      <c r="A272" s="5"/>
      <c r="B272" s="5">
        <v>1</v>
      </c>
      <c r="C272" s="9">
        <v>57</v>
      </c>
    </row>
    <row r="273" spans="1:3">
      <c r="A273" s="5"/>
      <c r="B273" s="5">
        <v>2</v>
      </c>
      <c r="C273" s="9">
        <v>65</v>
      </c>
    </row>
    <row r="274" spans="1:3">
      <c r="A274" s="5"/>
      <c r="B274" s="5">
        <v>3</v>
      </c>
      <c r="C274" s="9">
        <v>65</v>
      </c>
    </row>
    <row r="275" spans="1:3">
      <c r="A275" s="5"/>
      <c r="B275" s="5">
        <v>4</v>
      </c>
      <c r="C275" s="9">
        <v>113</v>
      </c>
    </row>
    <row r="276" spans="1:3">
      <c r="A276" s="5"/>
      <c r="B276" s="5">
        <v>5</v>
      </c>
      <c r="C276" s="9">
        <v>138</v>
      </c>
    </row>
    <row r="277" spans="1:3">
      <c r="A277" s="5"/>
      <c r="B277" s="5"/>
      <c r="C277" s="9">
        <v>138</v>
      </c>
    </row>
    <row r="278" spans="1:3">
      <c r="A278" s="5"/>
      <c r="B278" s="5"/>
      <c r="C278" s="9">
        <v>138</v>
      </c>
    </row>
    <row r="279" spans="1:3">
      <c r="A279" s="5"/>
      <c r="B279" s="5">
        <v>6</v>
      </c>
      <c r="C279" s="9">
        <v>449</v>
      </c>
    </row>
    <row r="280" spans="1:3">
      <c r="A280" s="5"/>
      <c r="B280" s="5"/>
      <c r="C280" s="9">
        <v>449</v>
      </c>
    </row>
    <row r="281" spans="1:3">
      <c r="A281" s="5"/>
      <c r="B281" s="5"/>
      <c r="C281" s="9">
        <v>449</v>
      </c>
    </row>
    <row r="282" spans="1:3">
      <c r="A282" s="5">
        <v>1984</v>
      </c>
      <c r="B282" s="5">
        <v>7</v>
      </c>
      <c r="C282" s="9">
        <v>538</v>
      </c>
    </row>
    <row r="283" spans="1:3">
      <c r="A283" s="5"/>
      <c r="B283" s="5"/>
      <c r="C283" s="9">
        <v>538</v>
      </c>
    </row>
    <row r="284" spans="1:3">
      <c r="A284" s="5"/>
      <c r="B284" s="5"/>
      <c r="C284" s="9">
        <v>538</v>
      </c>
    </row>
    <row r="285" spans="1:3">
      <c r="A285" s="5"/>
      <c r="B285" s="5">
        <v>8</v>
      </c>
      <c r="C285" s="9">
        <v>499</v>
      </c>
    </row>
    <row r="286" spans="1:3">
      <c r="A286" s="5"/>
      <c r="B286" s="5"/>
      <c r="C286" s="9">
        <v>499</v>
      </c>
    </row>
    <row r="287" spans="1:3">
      <c r="A287" s="5"/>
      <c r="B287" s="5"/>
      <c r="C287" s="9">
        <v>499</v>
      </c>
    </row>
    <row r="288" spans="1:3">
      <c r="A288" s="5"/>
      <c r="B288" s="5">
        <v>9</v>
      </c>
      <c r="C288" s="9">
        <v>360</v>
      </c>
    </row>
    <row r="289" spans="1:3">
      <c r="A289" s="5"/>
      <c r="B289" s="5">
        <v>10</v>
      </c>
      <c r="C289" s="9">
        <v>359</v>
      </c>
    </row>
    <row r="290" spans="1:3">
      <c r="A290" s="5"/>
      <c r="B290" s="5">
        <v>11</v>
      </c>
      <c r="C290" s="9">
        <v>182</v>
      </c>
    </row>
    <row r="291" spans="1:3">
      <c r="A291" s="5"/>
      <c r="B291" s="5">
        <v>12</v>
      </c>
      <c r="C291" s="9">
        <v>97</v>
      </c>
    </row>
    <row r="292" spans="1:3">
      <c r="A292" s="5"/>
      <c r="B292" s="5">
        <v>1</v>
      </c>
      <c r="C292" s="9">
        <v>75</v>
      </c>
    </row>
    <row r="293" spans="1:3">
      <c r="A293" s="5"/>
      <c r="B293" s="5">
        <v>2</v>
      </c>
      <c r="C293" s="9">
        <v>67</v>
      </c>
    </row>
    <row r="294" spans="1:3">
      <c r="A294" s="5"/>
      <c r="B294" s="5">
        <v>3</v>
      </c>
      <c r="C294" s="9">
        <v>67</v>
      </c>
    </row>
    <row r="295" spans="1:3">
      <c r="A295" s="5"/>
      <c r="B295" s="5">
        <v>4</v>
      </c>
      <c r="C295" s="9">
        <v>90</v>
      </c>
    </row>
    <row r="296" spans="1:3">
      <c r="A296" s="5"/>
      <c r="B296" s="5">
        <v>5</v>
      </c>
      <c r="C296" s="9">
        <v>151</v>
      </c>
    </row>
    <row r="297" spans="1:3">
      <c r="A297" s="5"/>
      <c r="B297" s="5"/>
      <c r="C297" s="9">
        <v>151</v>
      </c>
    </row>
    <row r="298" spans="1:3">
      <c r="A298" s="5"/>
      <c r="B298" s="5"/>
      <c r="C298" s="9">
        <v>151</v>
      </c>
    </row>
    <row r="299" spans="1:3">
      <c r="A299" s="5"/>
      <c r="B299" s="5">
        <v>6</v>
      </c>
      <c r="C299" s="9">
        <v>262</v>
      </c>
    </row>
    <row r="300" spans="1:3">
      <c r="A300" s="5"/>
      <c r="B300" s="5"/>
      <c r="C300" s="9">
        <v>262</v>
      </c>
    </row>
    <row r="301" spans="1:3">
      <c r="A301" s="5"/>
      <c r="B301" s="5"/>
      <c r="C301" s="9">
        <v>262</v>
      </c>
    </row>
    <row r="302" spans="1:3">
      <c r="A302" s="5">
        <v>1985</v>
      </c>
      <c r="B302" s="5">
        <v>7</v>
      </c>
      <c r="C302" s="9">
        <v>340</v>
      </c>
    </row>
    <row r="303" spans="1:3">
      <c r="A303" s="5"/>
      <c r="B303" s="5"/>
      <c r="C303" s="9">
        <v>340</v>
      </c>
    </row>
    <row r="304" spans="1:3">
      <c r="A304" s="5"/>
      <c r="B304" s="5"/>
      <c r="C304" s="9">
        <v>340</v>
      </c>
    </row>
    <row r="305" spans="1:3">
      <c r="A305" s="5"/>
      <c r="B305" s="5">
        <v>8</v>
      </c>
      <c r="C305" s="9">
        <v>346</v>
      </c>
    </row>
    <row r="306" spans="1:3">
      <c r="A306" s="5"/>
      <c r="B306" s="5"/>
      <c r="C306" s="9">
        <v>346</v>
      </c>
    </row>
    <row r="307" spans="1:3">
      <c r="A307" s="5"/>
      <c r="B307" s="5"/>
      <c r="C307" s="9">
        <v>346</v>
      </c>
    </row>
    <row r="308" spans="1:3">
      <c r="A308" s="5"/>
      <c r="B308" s="5">
        <v>9</v>
      </c>
      <c r="C308" s="9">
        <v>718</v>
      </c>
    </row>
    <row r="309" spans="1:3">
      <c r="A309" s="5"/>
      <c r="B309" s="5">
        <v>10</v>
      </c>
      <c r="C309" s="9">
        <v>348</v>
      </c>
    </row>
    <row r="310" spans="1:3">
      <c r="A310" s="5"/>
      <c r="B310" s="5">
        <v>11</v>
      </c>
      <c r="C310" s="9">
        <v>164</v>
      </c>
    </row>
    <row r="311" spans="1:3">
      <c r="A311" s="5"/>
      <c r="B311" s="5">
        <v>12</v>
      </c>
      <c r="C311" s="9">
        <v>94</v>
      </c>
    </row>
    <row r="312" spans="1:3">
      <c r="A312" s="5"/>
      <c r="B312" s="5">
        <v>1</v>
      </c>
      <c r="C312" s="9">
        <v>67</v>
      </c>
    </row>
    <row r="313" spans="1:3">
      <c r="A313" s="5"/>
      <c r="B313" s="5">
        <v>2</v>
      </c>
      <c r="C313" s="9">
        <v>71</v>
      </c>
    </row>
    <row r="314" spans="1:3">
      <c r="A314" s="5"/>
      <c r="B314" s="5">
        <v>3</v>
      </c>
      <c r="C314" s="9">
        <v>71</v>
      </c>
    </row>
    <row r="315" spans="1:3">
      <c r="A315" s="5"/>
      <c r="B315" s="5">
        <v>4</v>
      </c>
      <c r="C315" s="9">
        <v>104</v>
      </c>
    </row>
    <row r="316" spans="1:3">
      <c r="A316" s="5"/>
      <c r="B316" s="5">
        <v>5</v>
      </c>
      <c r="C316" s="9">
        <v>241</v>
      </c>
    </row>
    <row r="317" spans="1:3">
      <c r="A317" s="5"/>
      <c r="B317" s="5"/>
      <c r="C317" s="9">
        <v>241</v>
      </c>
    </row>
    <row r="318" spans="1:3">
      <c r="A318" s="5"/>
      <c r="B318" s="5"/>
      <c r="C318" s="9">
        <v>241</v>
      </c>
    </row>
    <row r="319" spans="1:3">
      <c r="A319" s="5"/>
      <c r="B319" s="5">
        <v>6</v>
      </c>
      <c r="C319" s="9">
        <v>369</v>
      </c>
    </row>
    <row r="320" spans="1:3">
      <c r="A320" s="5"/>
      <c r="B320" s="5"/>
      <c r="C320" s="9">
        <v>369</v>
      </c>
    </row>
    <row r="321" spans="1:3">
      <c r="A321" s="5"/>
      <c r="B321" s="5"/>
      <c r="C321" s="9">
        <v>369</v>
      </c>
    </row>
    <row r="322" spans="1:3">
      <c r="A322" s="5">
        <v>1986</v>
      </c>
      <c r="B322" s="5">
        <v>7</v>
      </c>
      <c r="C322" s="9">
        <v>437</v>
      </c>
    </row>
    <row r="323" spans="1:3">
      <c r="A323" s="5"/>
      <c r="B323" s="5"/>
      <c r="C323" s="9">
        <v>437</v>
      </c>
    </row>
    <row r="324" spans="1:3">
      <c r="A324" s="5"/>
      <c r="B324" s="5"/>
      <c r="C324" s="9">
        <v>437</v>
      </c>
    </row>
    <row r="325" spans="1:3">
      <c r="A325" s="5"/>
      <c r="B325" s="5">
        <v>8</v>
      </c>
      <c r="C325" s="9">
        <v>222</v>
      </c>
    </row>
    <row r="326" spans="1:3">
      <c r="A326" s="5"/>
      <c r="B326" s="5"/>
      <c r="C326" s="9">
        <v>222</v>
      </c>
    </row>
    <row r="327" spans="1:3">
      <c r="A327" s="5"/>
      <c r="B327" s="5"/>
      <c r="C327" s="9">
        <v>222</v>
      </c>
    </row>
    <row r="328" spans="1:3">
      <c r="A328" s="5"/>
      <c r="B328" s="5">
        <v>9</v>
      </c>
      <c r="C328" s="9">
        <v>230</v>
      </c>
    </row>
    <row r="329" spans="1:3">
      <c r="A329" s="5"/>
      <c r="B329" s="5">
        <v>10</v>
      </c>
      <c r="C329" s="9">
        <v>135</v>
      </c>
    </row>
    <row r="330" spans="1:3">
      <c r="A330" s="5"/>
      <c r="B330" s="5">
        <v>11</v>
      </c>
      <c r="C330" s="9">
        <v>86</v>
      </c>
    </row>
    <row r="331" spans="1:3">
      <c r="A331" s="5"/>
      <c r="B331" s="5">
        <v>12</v>
      </c>
      <c r="C331" s="9">
        <v>78</v>
      </c>
    </row>
    <row r="332" spans="1:3">
      <c r="A332" s="5"/>
      <c r="B332" s="5">
        <v>1</v>
      </c>
      <c r="C332" s="9">
        <v>50</v>
      </c>
    </row>
    <row r="333" spans="1:3">
      <c r="A333" s="5"/>
      <c r="B333" s="5">
        <v>2</v>
      </c>
      <c r="C333" s="9">
        <v>52</v>
      </c>
    </row>
    <row r="334" spans="1:3">
      <c r="A334" s="5"/>
      <c r="B334" s="5">
        <v>3</v>
      </c>
      <c r="C334" s="9">
        <v>52</v>
      </c>
    </row>
    <row r="335" spans="1:3">
      <c r="A335" s="5"/>
      <c r="B335" s="5">
        <v>4</v>
      </c>
      <c r="C335" s="9">
        <v>56</v>
      </c>
    </row>
    <row r="336" spans="1:3">
      <c r="A336" s="5"/>
      <c r="B336" s="5">
        <v>5</v>
      </c>
      <c r="C336" s="9">
        <v>222</v>
      </c>
    </row>
    <row r="337" spans="1:3">
      <c r="A337" s="5"/>
      <c r="B337" s="5"/>
      <c r="C337" s="9">
        <v>222</v>
      </c>
    </row>
    <row r="338" spans="1:3">
      <c r="A338" s="5"/>
      <c r="B338" s="5"/>
      <c r="C338" s="9">
        <v>222</v>
      </c>
    </row>
    <row r="339" spans="1:3">
      <c r="A339" s="5"/>
      <c r="B339" s="5">
        <v>6</v>
      </c>
      <c r="C339" s="9">
        <v>375</v>
      </c>
    </row>
    <row r="340" spans="1:3">
      <c r="A340" s="5"/>
      <c r="B340" s="5"/>
      <c r="C340" s="9">
        <v>375</v>
      </c>
    </row>
    <row r="341" spans="1:3">
      <c r="A341" s="5"/>
      <c r="B341" s="5"/>
      <c r="C341" s="9">
        <v>375</v>
      </c>
    </row>
    <row r="342" spans="1:3">
      <c r="A342" s="5">
        <v>1987</v>
      </c>
      <c r="B342" s="5">
        <v>7</v>
      </c>
      <c r="C342" s="9">
        <v>285</v>
      </c>
    </row>
    <row r="343" spans="1:3">
      <c r="A343" s="5"/>
      <c r="B343" s="5"/>
      <c r="C343" s="9">
        <v>285</v>
      </c>
    </row>
    <row r="344" spans="1:3">
      <c r="A344" s="5"/>
      <c r="B344" s="5"/>
      <c r="C344" s="9">
        <v>285</v>
      </c>
    </row>
    <row r="345" spans="1:3">
      <c r="A345" s="5"/>
      <c r="B345" s="5">
        <v>8</v>
      </c>
      <c r="C345" s="9">
        <v>155</v>
      </c>
    </row>
    <row r="346" spans="1:3">
      <c r="A346" s="5"/>
      <c r="B346" s="5"/>
      <c r="C346" s="9">
        <v>155</v>
      </c>
    </row>
    <row r="347" spans="1:3">
      <c r="A347" s="5"/>
      <c r="B347" s="5"/>
      <c r="C347" s="9">
        <v>155</v>
      </c>
    </row>
    <row r="348" spans="1:3">
      <c r="A348" s="5"/>
      <c r="B348" s="5">
        <v>9</v>
      </c>
      <c r="C348" s="9">
        <v>138</v>
      </c>
    </row>
    <row r="349" spans="1:3">
      <c r="A349" s="5"/>
      <c r="B349" s="5">
        <v>10</v>
      </c>
      <c r="C349" s="9">
        <v>111</v>
      </c>
    </row>
    <row r="350" spans="1:3">
      <c r="A350" s="5"/>
      <c r="B350" s="5">
        <v>11</v>
      </c>
      <c r="C350" s="9">
        <v>67</v>
      </c>
    </row>
    <row r="351" spans="1:3">
      <c r="A351" s="5"/>
      <c r="B351" s="5">
        <v>12</v>
      </c>
      <c r="C351" s="9">
        <v>64</v>
      </c>
    </row>
    <row r="352" spans="1:3">
      <c r="A352" s="5"/>
      <c r="B352" s="5">
        <v>1</v>
      </c>
      <c r="C352" s="9">
        <v>57</v>
      </c>
    </row>
    <row r="353" spans="1:3">
      <c r="A353" s="5"/>
      <c r="B353" s="5">
        <v>2</v>
      </c>
      <c r="C353" s="9">
        <v>54</v>
      </c>
    </row>
    <row r="354" spans="1:3">
      <c r="A354" s="5"/>
      <c r="B354" s="5">
        <v>3</v>
      </c>
      <c r="C354" s="9">
        <v>54</v>
      </c>
    </row>
    <row r="355" spans="1:3">
      <c r="A355" s="5"/>
      <c r="B355" s="5">
        <v>4</v>
      </c>
      <c r="C355" s="9">
        <v>81</v>
      </c>
    </row>
    <row r="356" spans="1:3">
      <c r="A356" s="5"/>
      <c r="B356" s="5">
        <v>5</v>
      </c>
      <c r="C356" s="9">
        <v>184</v>
      </c>
    </row>
    <row r="357" spans="1:3">
      <c r="A357" s="5"/>
      <c r="B357" s="5"/>
      <c r="C357" s="9">
        <v>184</v>
      </c>
    </row>
    <row r="358" spans="1:3">
      <c r="A358" s="5"/>
      <c r="B358" s="5"/>
      <c r="C358" s="9">
        <v>184</v>
      </c>
    </row>
    <row r="359" spans="1:3">
      <c r="A359" s="5"/>
      <c r="B359" s="5">
        <v>6</v>
      </c>
      <c r="C359" s="9">
        <v>218</v>
      </c>
    </row>
    <row r="360" spans="1:3">
      <c r="A360" s="5"/>
      <c r="B360" s="5"/>
      <c r="C360" s="9">
        <v>218</v>
      </c>
    </row>
    <row r="361" spans="1:3">
      <c r="A361" s="5"/>
      <c r="B361" s="5"/>
      <c r="C361" s="9">
        <v>218</v>
      </c>
    </row>
    <row r="362" spans="1:3">
      <c r="A362" s="5">
        <v>1988</v>
      </c>
      <c r="B362" s="5">
        <v>7</v>
      </c>
      <c r="C362" s="9">
        <v>197</v>
      </c>
    </row>
    <row r="363" spans="1:3">
      <c r="A363" s="5"/>
      <c r="B363" s="5"/>
      <c r="C363" s="9">
        <v>197</v>
      </c>
    </row>
    <row r="364" spans="1:3">
      <c r="A364" s="5"/>
      <c r="B364" s="5"/>
      <c r="C364" s="9">
        <v>197</v>
      </c>
    </row>
    <row r="365" spans="1:3">
      <c r="A365" s="5"/>
      <c r="B365" s="5">
        <v>8</v>
      </c>
      <c r="C365" s="9">
        <v>145</v>
      </c>
    </row>
    <row r="366" spans="1:3">
      <c r="A366" s="5"/>
      <c r="B366" s="5"/>
      <c r="C366" s="9">
        <v>145</v>
      </c>
    </row>
    <row r="367" spans="1:3">
      <c r="A367" s="5"/>
      <c r="B367" s="5"/>
      <c r="C367" s="9">
        <v>145</v>
      </c>
    </row>
    <row r="368" spans="1:3">
      <c r="A368" s="5"/>
      <c r="B368" s="5">
        <v>9</v>
      </c>
      <c r="C368" s="9">
        <v>161</v>
      </c>
    </row>
    <row r="369" spans="1:3">
      <c r="A369" s="5"/>
      <c r="B369" s="5">
        <v>10</v>
      </c>
      <c r="C369" s="9">
        <v>294</v>
      </c>
    </row>
    <row r="370" spans="1:3">
      <c r="A370" s="5"/>
      <c r="B370" s="5">
        <v>11</v>
      </c>
      <c r="C370" s="9">
        <v>137</v>
      </c>
    </row>
    <row r="371" spans="1:3">
      <c r="A371" s="5"/>
      <c r="B371" s="5">
        <v>12</v>
      </c>
      <c r="C371" s="9">
        <v>76</v>
      </c>
    </row>
    <row r="372" spans="1:3">
      <c r="A372" s="5"/>
      <c r="B372" s="5">
        <v>1</v>
      </c>
      <c r="C372" s="9">
        <v>62</v>
      </c>
    </row>
    <row r="373" spans="1:3">
      <c r="A373" s="5"/>
      <c r="B373" s="5">
        <v>2</v>
      </c>
      <c r="C373" s="9">
        <v>50</v>
      </c>
    </row>
    <row r="374" spans="1:3">
      <c r="A374" s="5"/>
      <c r="B374" s="5">
        <v>3</v>
      </c>
      <c r="C374" s="9">
        <v>50</v>
      </c>
    </row>
    <row r="375" spans="1:3">
      <c r="A375" s="5"/>
      <c r="B375" s="5">
        <v>4</v>
      </c>
      <c r="C375" s="9">
        <v>158</v>
      </c>
    </row>
    <row r="376" spans="1:3">
      <c r="A376" s="5"/>
      <c r="B376" s="5">
        <v>5</v>
      </c>
      <c r="C376" s="9">
        <v>189</v>
      </c>
    </row>
    <row r="377" spans="1:3">
      <c r="A377" s="5"/>
      <c r="B377" s="5"/>
      <c r="C377" s="9">
        <v>189</v>
      </c>
    </row>
    <row r="378" spans="1:3">
      <c r="A378" s="5"/>
      <c r="B378" s="5"/>
      <c r="C378" s="9">
        <v>189</v>
      </c>
    </row>
    <row r="379" spans="1:3">
      <c r="A379" s="5"/>
      <c r="B379" s="5">
        <v>6</v>
      </c>
      <c r="C379" s="9">
        <v>248</v>
      </c>
    </row>
    <row r="380" spans="1:3">
      <c r="A380" s="5"/>
      <c r="B380" s="5"/>
      <c r="C380" s="9">
        <v>248</v>
      </c>
    </row>
    <row r="381" spans="1:3">
      <c r="A381" s="5"/>
      <c r="B381" s="5"/>
      <c r="C381" s="9">
        <v>248</v>
      </c>
    </row>
    <row r="382" spans="1:3">
      <c r="A382" s="5">
        <v>1989</v>
      </c>
      <c r="B382" s="5">
        <v>7</v>
      </c>
      <c r="C382" s="9">
        <v>289</v>
      </c>
    </row>
    <row r="383" spans="1:3">
      <c r="A383" s="5"/>
      <c r="B383" s="5"/>
      <c r="C383" s="9">
        <v>289</v>
      </c>
    </row>
    <row r="384" spans="1:3">
      <c r="A384" s="5"/>
      <c r="B384" s="5"/>
      <c r="C384" s="9">
        <v>289</v>
      </c>
    </row>
    <row r="385" spans="1:3">
      <c r="A385" s="5"/>
      <c r="B385" s="5">
        <v>8</v>
      </c>
      <c r="C385" s="9">
        <v>338</v>
      </c>
    </row>
    <row r="386" spans="1:3">
      <c r="A386" s="5"/>
      <c r="B386" s="5"/>
      <c r="C386" s="9">
        <v>338</v>
      </c>
    </row>
    <row r="387" spans="1:3">
      <c r="A387" s="5"/>
      <c r="B387" s="5"/>
      <c r="C387" s="9">
        <v>338</v>
      </c>
    </row>
    <row r="388" spans="1:3">
      <c r="A388" s="5"/>
      <c r="B388" s="5">
        <v>9</v>
      </c>
      <c r="C388" s="9">
        <v>264</v>
      </c>
    </row>
    <row r="389" spans="1:3">
      <c r="A389" s="5"/>
      <c r="B389" s="5">
        <v>10</v>
      </c>
      <c r="C389" s="9">
        <v>216</v>
      </c>
    </row>
    <row r="390" spans="1:3">
      <c r="A390" s="5"/>
      <c r="B390" s="5">
        <v>11</v>
      </c>
      <c r="C390" s="9">
        <v>145</v>
      </c>
    </row>
    <row r="391" spans="1:3">
      <c r="A391" s="5"/>
      <c r="B391" s="5">
        <v>12</v>
      </c>
      <c r="C391" s="9">
        <v>104</v>
      </c>
    </row>
    <row r="392" spans="1:3">
      <c r="A392" s="5"/>
      <c r="B392" s="5">
        <v>1</v>
      </c>
      <c r="C392" s="9">
        <v>61</v>
      </c>
    </row>
    <row r="393" spans="1:3">
      <c r="A393" s="5"/>
      <c r="B393" s="5">
        <v>2</v>
      </c>
      <c r="C393" s="9">
        <v>55</v>
      </c>
    </row>
    <row r="394" spans="1:3">
      <c r="A394" s="5"/>
      <c r="B394" s="5">
        <v>3</v>
      </c>
      <c r="C394" s="9">
        <v>55</v>
      </c>
    </row>
    <row r="395" spans="1:3">
      <c r="A395" s="5"/>
      <c r="B395" s="5">
        <v>4</v>
      </c>
      <c r="C395" s="9">
        <v>125</v>
      </c>
    </row>
    <row r="396" spans="1:3">
      <c r="A396" s="5"/>
      <c r="B396" s="5">
        <v>5</v>
      </c>
      <c r="C396" s="9">
        <v>220</v>
      </c>
    </row>
    <row r="397" spans="1:3">
      <c r="A397" s="5"/>
      <c r="B397" s="5"/>
      <c r="C397" s="9">
        <v>220</v>
      </c>
    </row>
    <row r="398" spans="1:3">
      <c r="A398" s="5"/>
      <c r="B398" s="5"/>
      <c r="C398" s="9">
        <v>220</v>
      </c>
    </row>
    <row r="399" spans="1:3">
      <c r="A399" s="5"/>
      <c r="B399" s="5">
        <v>6</v>
      </c>
      <c r="C399" s="9">
        <v>170</v>
      </c>
    </row>
    <row r="400" spans="1:3">
      <c r="A400" s="5"/>
      <c r="B400" s="5"/>
      <c r="C400" s="9">
        <v>170</v>
      </c>
    </row>
    <row r="401" spans="1:3">
      <c r="A401" s="5"/>
      <c r="B401" s="5"/>
      <c r="C401" s="9">
        <v>170</v>
      </c>
    </row>
    <row r="402" spans="1:3">
      <c r="A402" s="5">
        <v>1990</v>
      </c>
      <c r="B402" s="5">
        <v>7</v>
      </c>
      <c r="C402" s="9">
        <v>185</v>
      </c>
    </row>
    <row r="403" spans="1:3">
      <c r="A403" s="5"/>
      <c r="B403" s="5"/>
      <c r="C403" s="9">
        <v>185</v>
      </c>
    </row>
    <row r="404" spans="1:3">
      <c r="A404" s="5"/>
      <c r="B404" s="5"/>
      <c r="C404" s="9">
        <v>185</v>
      </c>
    </row>
    <row r="405" spans="1:3">
      <c r="A405" s="5"/>
      <c r="B405" s="5">
        <v>8</v>
      </c>
      <c r="C405" s="9">
        <v>237</v>
      </c>
    </row>
    <row r="406" spans="1:3">
      <c r="A406" s="5"/>
      <c r="B406" s="5"/>
      <c r="C406" s="9">
        <v>237</v>
      </c>
    </row>
    <row r="407" spans="1:3">
      <c r="A407" s="5"/>
      <c r="B407" s="5"/>
      <c r="C407" s="9">
        <v>237</v>
      </c>
    </row>
    <row r="408" spans="1:3">
      <c r="A408" s="5"/>
      <c r="B408" s="5">
        <v>9</v>
      </c>
      <c r="C408" s="9">
        <v>283</v>
      </c>
    </row>
    <row r="409" spans="1:3">
      <c r="A409" s="5"/>
      <c r="B409" s="5">
        <v>10</v>
      </c>
      <c r="C409" s="9">
        <v>188</v>
      </c>
    </row>
    <row r="410" spans="1:3">
      <c r="A410" s="5"/>
      <c r="B410" s="5">
        <v>11</v>
      </c>
      <c r="C410" s="9">
        <v>113</v>
      </c>
    </row>
    <row r="411" spans="1:3">
      <c r="A411" s="5"/>
      <c r="B411" s="5">
        <v>12</v>
      </c>
      <c r="C411" s="9">
        <v>85</v>
      </c>
    </row>
    <row r="412" spans="1:3">
      <c r="A412" s="5"/>
      <c r="B412" s="5">
        <v>1</v>
      </c>
      <c r="C412" s="9">
        <v>56</v>
      </c>
    </row>
    <row r="413" spans="1:3">
      <c r="A413" s="5"/>
      <c r="B413" s="5">
        <v>2</v>
      </c>
      <c r="C413" s="9">
        <v>57</v>
      </c>
    </row>
    <row r="414" spans="1:3">
      <c r="A414" s="5"/>
      <c r="B414" s="5">
        <v>3</v>
      </c>
      <c r="C414" s="9">
        <v>57</v>
      </c>
    </row>
    <row r="415" spans="1:3">
      <c r="A415" s="5"/>
      <c r="B415" s="5">
        <v>4</v>
      </c>
      <c r="C415" s="9">
        <v>80</v>
      </c>
    </row>
    <row r="416" spans="1:3">
      <c r="A416" s="5"/>
      <c r="B416" s="5">
        <v>5</v>
      </c>
      <c r="C416" s="9">
        <v>130</v>
      </c>
    </row>
    <row r="417" spans="1:3">
      <c r="A417" s="5"/>
      <c r="B417" s="5"/>
      <c r="C417" s="9">
        <v>130</v>
      </c>
    </row>
    <row r="418" spans="1:3">
      <c r="A418" s="5"/>
      <c r="B418" s="5"/>
      <c r="C418" s="9">
        <v>130</v>
      </c>
    </row>
    <row r="419" spans="1:3">
      <c r="A419" s="5"/>
      <c r="B419" s="5">
        <v>6</v>
      </c>
      <c r="C419" s="9">
        <v>224</v>
      </c>
    </row>
    <row r="420" spans="1:3">
      <c r="A420" s="5"/>
      <c r="B420" s="5"/>
      <c r="C420" s="9">
        <v>224</v>
      </c>
    </row>
    <row r="421" spans="1:3">
      <c r="A421" s="5"/>
      <c r="B421" s="5"/>
      <c r="C421" s="9">
        <v>224</v>
      </c>
    </row>
    <row r="422" spans="1:3">
      <c r="A422" s="5">
        <v>1991</v>
      </c>
      <c r="B422" s="5">
        <v>7</v>
      </c>
      <c r="C422" s="9">
        <v>114</v>
      </c>
    </row>
    <row r="423" spans="1:3">
      <c r="A423" s="5"/>
      <c r="B423" s="5"/>
      <c r="C423" s="9">
        <v>114</v>
      </c>
    </row>
    <row r="424" spans="1:3">
      <c r="A424" s="5"/>
      <c r="B424" s="5"/>
      <c r="C424" s="9">
        <v>114</v>
      </c>
    </row>
    <row r="425" spans="1:3">
      <c r="A425" s="5"/>
      <c r="B425" s="5">
        <v>8</v>
      </c>
      <c r="C425" s="9">
        <v>112</v>
      </c>
    </row>
    <row r="426" spans="1:3">
      <c r="A426" s="5"/>
      <c r="B426" s="5"/>
      <c r="C426" s="9">
        <v>112</v>
      </c>
    </row>
    <row r="427" spans="1:3">
      <c r="A427" s="5"/>
      <c r="B427" s="5"/>
      <c r="C427" s="9">
        <v>112</v>
      </c>
    </row>
    <row r="428" spans="1:3">
      <c r="A428" s="5"/>
      <c r="B428" s="5">
        <v>9</v>
      </c>
      <c r="C428" s="9">
        <v>107</v>
      </c>
    </row>
    <row r="429" spans="1:3">
      <c r="A429" s="5"/>
      <c r="B429" s="5">
        <v>10</v>
      </c>
      <c r="C429" s="9">
        <v>99</v>
      </c>
    </row>
    <row r="430" spans="1:3">
      <c r="A430" s="5"/>
      <c r="B430" s="5">
        <v>11</v>
      </c>
      <c r="C430" s="9">
        <v>62</v>
      </c>
    </row>
    <row r="431" spans="1:3">
      <c r="A431" s="5"/>
      <c r="B431" s="5">
        <v>12</v>
      </c>
      <c r="C431" s="9">
        <v>53</v>
      </c>
    </row>
    <row r="432" spans="1:3">
      <c r="A432" s="5"/>
      <c r="B432" s="5">
        <v>1</v>
      </c>
      <c r="C432" s="9">
        <v>31</v>
      </c>
    </row>
    <row r="433" spans="1:3">
      <c r="A433" s="5"/>
      <c r="B433" s="5">
        <v>2</v>
      </c>
      <c r="C433" s="9">
        <v>38</v>
      </c>
    </row>
    <row r="434" spans="1:3">
      <c r="A434" s="5"/>
      <c r="B434" s="5">
        <v>3</v>
      </c>
      <c r="C434" s="9">
        <v>38</v>
      </c>
    </row>
    <row r="435" spans="1:3">
      <c r="A435" s="5"/>
      <c r="B435" s="5">
        <v>4</v>
      </c>
      <c r="C435" s="9">
        <v>80</v>
      </c>
    </row>
    <row r="436" spans="1:3">
      <c r="A436" s="5"/>
      <c r="B436" s="5">
        <v>5</v>
      </c>
      <c r="C436" s="9">
        <v>76</v>
      </c>
    </row>
    <row r="437" spans="1:3">
      <c r="A437" s="5"/>
      <c r="B437" s="5"/>
      <c r="C437" s="9">
        <v>76</v>
      </c>
    </row>
    <row r="438" spans="1:3">
      <c r="A438" s="5"/>
      <c r="B438" s="5"/>
      <c r="C438" s="9">
        <v>76</v>
      </c>
    </row>
    <row r="439" spans="1:3">
      <c r="A439" s="5"/>
      <c r="B439" s="5">
        <v>6</v>
      </c>
      <c r="C439" s="9">
        <v>163</v>
      </c>
    </row>
    <row r="440" spans="1:3">
      <c r="A440" s="5"/>
      <c r="B440" s="5"/>
      <c r="C440" s="9">
        <v>163</v>
      </c>
    </row>
    <row r="441" spans="1:3">
      <c r="A441" s="5"/>
      <c r="B441" s="5"/>
      <c r="C441" s="9">
        <v>163</v>
      </c>
    </row>
    <row r="442" spans="1:3">
      <c r="A442" s="5">
        <v>1992</v>
      </c>
      <c r="B442" s="5">
        <v>7</v>
      </c>
      <c r="C442" s="9">
        <v>280</v>
      </c>
    </row>
    <row r="443" spans="1:3">
      <c r="A443" s="5"/>
      <c r="B443" s="5"/>
      <c r="C443" s="9">
        <v>280</v>
      </c>
    </row>
    <row r="444" spans="1:3">
      <c r="A444" s="5"/>
      <c r="B444" s="5"/>
      <c r="C444" s="9">
        <v>280</v>
      </c>
    </row>
    <row r="445" spans="1:3">
      <c r="A445" s="5"/>
      <c r="B445" s="5">
        <v>8</v>
      </c>
      <c r="C445" s="9">
        <v>461</v>
      </c>
    </row>
    <row r="446" spans="1:3">
      <c r="A446" s="5"/>
      <c r="B446" s="5"/>
      <c r="C446" s="9">
        <v>461</v>
      </c>
    </row>
    <row r="447" spans="1:3">
      <c r="A447" s="5"/>
      <c r="B447" s="5"/>
      <c r="C447" s="9">
        <v>461</v>
      </c>
    </row>
    <row r="448" spans="1:3">
      <c r="A448" s="5"/>
      <c r="B448" s="5">
        <v>9</v>
      </c>
      <c r="C448" s="9">
        <v>412</v>
      </c>
    </row>
    <row r="449" spans="1:3">
      <c r="A449" s="5"/>
      <c r="B449" s="5">
        <v>10</v>
      </c>
      <c r="C449" s="9">
        <v>338</v>
      </c>
    </row>
    <row r="450" spans="1:3">
      <c r="A450" s="5"/>
      <c r="B450" s="5">
        <v>11</v>
      </c>
      <c r="C450" s="9">
        <v>145</v>
      </c>
    </row>
    <row r="451" spans="1:3">
      <c r="A451" s="5"/>
      <c r="B451" s="5">
        <v>12</v>
      </c>
      <c r="C451" s="9">
        <v>96</v>
      </c>
    </row>
    <row r="452" spans="1:3">
      <c r="A452" s="5"/>
      <c r="B452" s="5">
        <v>1</v>
      </c>
      <c r="C452" s="9">
        <v>69</v>
      </c>
    </row>
    <row r="453" spans="1:3">
      <c r="A453" s="5"/>
      <c r="B453" s="5">
        <v>2</v>
      </c>
      <c r="C453" s="9">
        <v>70</v>
      </c>
    </row>
    <row r="454" spans="1:3">
      <c r="A454" s="5"/>
      <c r="B454" s="5">
        <v>3</v>
      </c>
      <c r="C454" s="9">
        <v>70</v>
      </c>
    </row>
    <row r="455" spans="1:3">
      <c r="A455" s="5"/>
      <c r="B455" s="5">
        <v>4</v>
      </c>
      <c r="C455" s="9">
        <v>119</v>
      </c>
    </row>
    <row r="456" spans="1:3">
      <c r="A456" s="5"/>
      <c r="B456" s="5">
        <v>5</v>
      </c>
      <c r="C456" s="9">
        <v>142</v>
      </c>
    </row>
    <row r="457" spans="1:3">
      <c r="A457" s="5"/>
      <c r="B457" s="5"/>
      <c r="C457" s="9">
        <v>142</v>
      </c>
    </row>
    <row r="458" spans="1:3">
      <c r="A458" s="5"/>
      <c r="B458" s="5"/>
      <c r="C458" s="9">
        <v>142</v>
      </c>
    </row>
    <row r="459" spans="1:3">
      <c r="A459" s="5"/>
      <c r="B459" s="5">
        <v>6</v>
      </c>
      <c r="C459" s="9">
        <v>308</v>
      </c>
    </row>
    <row r="460" spans="1:3">
      <c r="A460" s="5"/>
      <c r="B460" s="5"/>
      <c r="C460" s="9">
        <v>308</v>
      </c>
    </row>
    <row r="461" spans="1:3">
      <c r="A461" s="5"/>
      <c r="B461" s="5"/>
      <c r="C461" s="9">
        <v>308</v>
      </c>
    </row>
    <row r="462" spans="1:3">
      <c r="A462" s="5">
        <v>1993</v>
      </c>
      <c r="B462" s="5">
        <v>7</v>
      </c>
      <c r="C462" s="9">
        <v>278</v>
      </c>
    </row>
    <row r="463" spans="1:3">
      <c r="A463" s="5"/>
      <c r="B463" s="5"/>
      <c r="C463" s="9">
        <v>278</v>
      </c>
    </row>
    <row r="464" spans="1:3">
      <c r="A464" s="5"/>
      <c r="B464" s="5"/>
      <c r="C464" s="9">
        <v>278</v>
      </c>
    </row>
    <row r="465" spans="1:3">
      <c r="A465" s="5"/>
      <c r="B465" s="5">
        <v>8</v>
      </c>
      <c r="C465" s="9">
        <v>239</v>
      </c>
    </row>
    <row r="466" spans="1:3">
      <c r="A466" s="5"/>
      <c r="B466" s="5"/>
      <c r="C466" s="9">
        <v>239</v>
      </c>
    </row>
    <row r="467" spans="1:3">
      <c r="A467" s="5"/>
      <c r="B467" s="5"/>
      <c r="C467" s="9">
        <v>239</v>
      </c>
    </row>
    <row r="468" spans="1:3">
      <c r="A468" s="5"/>
      <c r="B468" s="5">
        <v>9</v>
      </c>
      <c r="C468" s="9">
        <v>168</v>
      </c>
    </row>
    <row r="469" spans="1:3">
      <c r="A469" s="5"/>
      <c r="B469" s="5">
        <v>10</v>
      </c>
      <c r="C469" s="9">
        <v>136</v>
      </c>
    </row>
    <row r="470" spans="1:3">
      <c r="A470" s="5"/>
      <c r="B470" s="5">
        <v>11</v>
      </c>
      <c r="C470" s="9">
        <v>83</v>
      </c>
    </row>
    <row r="471" spans="1:3">
      <c r="A471" s="5"/>
      <c r="B471" s="5">
        <v>12</v>
      </c>
      <c r="C471" s="9">
        <v>62</v>
      </c>
    </row>
    <row r="472" spans="1:3">
      <c r="A472" s="5"/>
      <c r="B472" s="5">
        <v>1</v>
      </c>
      <c r="C472" s="9">
        <v>42</v>
      </c>
    </row>
    <row r="473" spans="1:3">
      <c r="A473" s="5"/>
      <c r="B473" s="5">
        <v>2</v>
      </c>
      <c r="C473" s="9">
        <v>47</v>
      </c>
    </row>
    <row r="474" spans="1:3">
      <c r="A474" s="5"/>
      <c r="B474" s="5">
        <v>3</v>
      </c>
      <c r="C474" s="9">
        <v>47</v>
      </c>
    </row>
    <row r="475" spans="1:3">
      <c r="A475" s="5"/>
      <c r="B475" s="5">
        <v>4</v>
      </c>
      <c r="C475" s="9">
        <v>125</v>
      </c>
    </row>
    <row r="476" spans="1:3">
      <c r="A476" s="5"/>
      <c r="B476" s="5">
        <v>5</v>
      </c>
      <c r="C476" s="9">
        <v>118</v>
      </c>
    </row>
    <row r="477" spans="1:3">
      <c r="A477" s="5"/>
      <c r="B477" s="5"/>
      <c r="C477" s="9">
        <v>118</v>
      </c>
    </row>
    <row r="478" spans="1:3">
      <c r="A478" s="5"/>
      <c r="B478" s="5"/>
      <c r="C478" s="9">
        <v>118</v>
      </c>
    </row>
    <row r="479" spans="1:3">
      <c r="A479" s="5"/>
      <c r="B479" s="5">
        <v>6</v>
      </c>
      <c r="C479" s="9">
        <v>213</v>
      </c>
    </row>
    <row r="480" spans="1:3">
      <c r="A480" s="5"/>
      <c r="B480" s="5"/>
      <c r="C480" s="9">
        <v>213</v>
      </c>
    </row>
    <row r="481" spans="1:3">
      <c r="A481" s="5"/>
      <c r="B481" s="5"/>
      <c r="C481" s="9">
        <v>213</v>
      </c>
    </row>
    <row r="482" spans="1:3">
      <c r="A482" s="5">
        <v>1994</v>
      </c>
      <c r="B482" s="5">
        <v>7</v>
      </c>
      <c r="C482" s="9">
        <v>306</v>
      </c>
    </row>
    <row r="483" spans="1:3">
      <c r="A483" s="5"/>
      <c r="B483" s="5"/>
      <c r="C483" s="9">
        <v>306</v>
      </c>
    </row>
    <row r="484" spans="1:3">
      <c r="A484" s="5"/>
      <c r="B484" s="5"/>
      <c r="C484" s="9">
        <v>306</v>
      </c>
    </row>
    <row r="485" spans="1:3" ht="13" customHeight="1">
      <c r="A485" s="5"/>
      <c r="B485" s="5">
        <v>8</v>
      </c>
      <c r="C485" s="9">
        <v>223</v>
      </c>
    </row>
    <row r="486" spans="1:3" ht="13" customHeight="1">
      <c r="A486" s="5"/>
      <c r="B486" s="5"/>
      <c r="C486" s="9">
        <v>223</v>
      </c>
    </row>
    <row r="487" spans="1:3" ht="13" customHeight="1">
      <c r="A487" s="5"/>
      <c r="B487" s="5"/>
      <c r="C487" s="9">
        <v>223</v>
      </c>
    </row>
    <row r="488" spans="1:3" ht="13" customHeight="1">
      <c r="A488" s="5"/>
      <c r="B488" s="5">
        <v>9</v>
      </c>
      <c r="C488" s="9">
        <v>167</v>
      </c>
    </row>
    <row r="489" spans="1:3" ht="13.75" customHeight="1">
      <c r="A489" s="5"/>
      <c r="B489" s="5">
        <v>10</v>
      </c>
      <c r="C489" s="9">
        <v>134</v>
      </c>
    </row>
    <row r="490" spans="1:3">
      <c r="A490" s="5"/>
      <c r="B490" s="5">
        <v>11</v>
      </c>
      <c r="C490" s="9">
        <v>82</v>
      </c>
    </row>
    <row r="491" spans="1:3">
      <c r="A491" s="5"/>
      <c r="B491" s="5">
        <v>12</v>
      </c>
      <c r="C491" s="9">
        <v>64</v>
      </c>
    </row>
    <row r="492" spans="1:3">
      <c r="A492" s="5"/>
      <c r="B492" s="5">
        <v>1</v>
      </c>
      <c r="C492" s="9">
        <v>53</v>
      </c>
    </row>
    <row r="493" spans="1:3">
      <c r="A493" s="5"/>
      <c r="B493" s="5">
        <v>2</v>
      </c>
      <c r="C493" s="9">
        <v>54</v>
      </c>
    </row>
    <row r="494" spans="1:3">
      <c r="A494" s="5"/>
      <c r="B494" s="5">
        <v>3</v>
      </c>
      <c r="C494" s="9">
        <v>54</v>
      </c>
    </row>
    <row r="495" spans="1:3">
      <c r="A495" s="5"/>
      <c r="B495" s="5">
        <v>4</v>
      </c>
      <c r="C495" s="9">
        <v>146</v>
      </c>
    </row>
    <row r="496" spans="1:3">
      <c r="A496" s="5"/>
      <c r="B496" s="5">
        <v>5</v>
      </c>
      <c r="C496" s="9">
        <v>87</v>
      </c>
    </row>
    <row r="497" spans="1:3">
      <c r="A497" s="5"/>
      <c r="B497" s="5"/>
      <c r="C497" s="9">
        <v>87</v>
      </c>
    </row>
    <row r="498" spans="1:3">
      <c r="A498" s="5"/>
      <c r="B498" s="5"/>
      <c r="C498" s="9">
        <v>87</v>
      </c>
    </row>
    <row r="499" spans="1:3">
      <c r="A499" s="5"/>
      <c r="B499" s="5">
        <v>6</v>
      </c>
      <c r="C499" s="9">
        <v>85</v>
      </c>
    </row>
    <row r="500" spans="1:3">
      <c r="A500" s="5"/>
      <c r="B500" s="5"/>
      <c r="C500" s="9">
        <v>85</v>
      </c>
    </row>
    <row r="501" spans="1:3">
      <c r="A501" s="5"/>
      <c r="B501" s="5"/>
      <c r="C501" s="9">
        <v>85</v>
      </c>
    </row>
    <row r="502" spans="1:3">
      <c r="A502" s="5">
        <v>1995</v>
      </c>
      <c r="B502" s="5">
        <v>7</v>
      </c>
      <c r="C502" s="9">
        <v>96</v>
      </c>
    </row>
    <row r="503" spans="1:3">
      <c r="A503" s="5"/>
      <c r="B503" s="5"/>
      <c r="C503" s="9">
        <v>96</v>
      </c>
    </row>
    <row r="504" spans="1:3">
      <c r="A504" s="5"/>
      <c r="B504" s="5"/>
      <c r="C504" s="9">
        <v>96</v>
      </c>
    </row>
    <row r="505" spans="1:3">
      <c r="A505" s="5"/>
      <c r="B505" s="5">
        <v>8</v>
      </c>
      <c r="C505" s="9">
        <v>373</v>
      </c>
    </row>
    <row r="506" spans="1:3">
      <c r="A506" s="5"/>
      <c r="B506" s="5"/>
      <c r="C506" s="9">
        <v>373</v>
      </c>
    </row>
    <row r="507" spans="1:3">
      <c r="A507" s="5"/>
      <c r="B507" s="5"/>
      <c r="C507" s="9">
        <v>373</v>
      </c>
    </row>
    <row r="508" spans="1:3">
      <c r="A508" s="5"/>
      <c r="B508" s="5">
        <v>9</v>
      </c>
      <c r="C508" s="9">
        <v>340</v>
      </c>
    </row>
    <row r="509" spans="1:3">
      <c r="A509" s="5"/>
      <c r="B509" s="5">
        <v>10</v>
      </c>
      <c r="C509" s="9">
        <v>184</v>
      </c>
    </row>
    <row r="510" spans="1:3">
      <c r="A510" s="5"/>
      <c r="B510" s="5">
        <v>11</v>
      </c>
      <c r="C510" s="9">
        <v>97</v>
      </c>
    </row>
    <row r="511" spans="1:3">
      <c r="A511" s="5"/>
      <c r="B511" s="5">
        <v>12</v>
      </c>
      <c r="C511" s="9">
        <v>69</v>
      </c>
    </row>
    <row r="512" spans="1:3">
      <c r="A512" s="5"/>
      <c r="B512" s="5">
        <v>1</v>
      </c>
      <c r="C512" s="9">
        <v>52</v>
      </c>
    </row>
    <row r="513" spans="1:3">
      <c r="A513" s="5"/>
      <c r="B513" s="5">
        <v>2</v>
      </c>
      <c r="C513" s="9">
        <v>52</v>
      </c>
    </row>
    <row r="514" spans="1:3">
      <c r="A514" s="5"/>
      <c r="B514" s="5">
        <v>3</v>
      </c>
      <c r="C514" s="9">
        <v>52</v>
      </c>
    </row>
    <row r="515" spans="1:3">
      <c r="A515" s="5"/>
      <c r="B515" s="5">
        <v>4</v>
      </c>
      <c r="C515" s="9">
        <v>80</v>
      </c>
    </row>
    <row r="516" spans="1:3">
      <c r="A516" s="5"/>
      <c r="B516" s="5">
        <v>5</v>
      </c>
      <c r="C516" s="9">
        <v>122</v>
      </c>
    </row>
    <row r="517" spans="1:3">
      <c r="A517" s="5"/>
      <c r="B517" s="5"/>
      <c r="C517" s="9">
        <v>122</v>
      </c>
    </row>
    <row r="518" spans="1:3">
      <c r="A518" s="5"/>
      <c r="B518" s="5"/>
      <c r="C518" s="9">
        <v>122</v>
      </c>
    </row>
    <row r="519" spans="1:3" ht="15" customHeight="1">
      <c r="A519" s="5"/>
      <c r="B519" s="5">
        <v>6</v>
      </c>
      <c r="C519" s="9">
        <v>208</v>
      </c>
    </row>
    <row r="520" spans="1:3" ht="15" customHeight="1">
      <c r="A520" s="5"/>
      <c r="B520" s="5"/>
      <c r="C520" s="9">
        <v>208</v>
      </c>
    </row>
    <row r="521" spans="1:3" ht="15" customHeight="1">
      <c r="A521" s="5"/>
      <c r="B521" s="5"/>
      <c r="C521" s="9">
        <v>208</v>
      </c>
    </row>
    <row r="522" spans="1:3">
      <c r="A522" s="5">
        <v>1996</v>
      </c>
      <c r="B522" s="5">
        <v>7</v>
      </c>
      <c r="C522" s="9">
        <v>195</v>
      </c>
    </row>
    <row r="523" spans="1:3">
      <c r="A523" s="5"/>
      <c r="B523" s="5"/>
      <c r="C523" s="9">
        <v>195</v>
      </c>
    </row>
    <row r="524" spans="1:3">
      <c r="A524" s="5"/>
      <c r="B524" s="5"/>
      <c r="C524" s="9">
        <v>195</v>
      </c>
    </row>
    <row r="525" spans="1:3">
      <c r="A525" s="5"/>
      <c r="B525" s="5">
        <v>8</v>
      </c>
      <c r="C525" s="9">
        <v>222</v>
      </c>
    </row>
    <row r="526" spans="1:3">
      <c r="A526" s="5"/>
      <c r="B526" s="5"/>
      <c r="C526" s="9">
        <v>222</v>
      </c>
    </row>
    <row r="527" spans="1:3">
      <c r="A527" s="5"/>
      <c r="B527" s="5"/>
      <c r="C527" s="9">
        <v>222</v>
      </c>
    </row>
    <row r="528" spans="1:3">
      <c r="A528" s="5"/>
      <c r="B528" s="5">
        <v>9</v>
      </c>
      <c r="C528" s="9">
        <v>163</v>
      </c>
    </row>
    <row r="529" spans="1:3">
      <c r="A529" s="5"/>
      <c r="B529" s="5">
        <v>10</v>
      </c>
      <c r="C529" s="9">
        <v>113</v>
      </c>
    </row>
    <row r="530" spans="1:3">
      <c r="A530" s="5"/>
      <c r="B530" s="5">
        <v>11</v>
      </c>
      <c r="C530" s="9">
        <v>72</v>
      </c>
    </row>
    <row r="531" spans="1:3">
      <c r="A531" s="5"/>
      <c r="B531" s="5">
        <v>12</v>
      </c>
      <c r="C531" s="9">
        <v>53</v>
      </c>
    </row>
    <row r="532" spans="1:3">
      <c r="A532" s="5"/>
      <c r="B532" s="5">
        <v>1</v>
      </c>
      <c r="C532" s="9">
        <v>42</v>
      </c>
    </row>
    <row r="533" spans="1:3">
      <c r="A533" s="5"/>
      <c r="B533" s="5">
        <v>2</v>
      </c>
      <c r="C533" s="9">
        <v>38</v>
      </c>
    </row>
    <row r="534" spans="1:3">
      <c r="A534" s="5"/>
      <c r="B534" s="5">
        <v>3</v>
      </c>
      <c r="C534" s="9">
        <v>38</v>
      </c>
    </row>
    <row r="535" spans="1:3">
      <c r="A535" s="5"/>
      <c r="B535" s="5">
        <v>4</v>
      </c>
      <c r="C535" s="9">
        <v>91</v>
      </c>
    </row>
    <row r="536" spans="1:3">
      <c r="A536" s="5"/>
      <c r="B536" s="5">
        <v>5</v>
      </c>
      <c r="C536" s="9">
        <v>136</v>
      </c>
    </row>
    <row r="537" spans="1:3">
      <c r="A537" s="5"/>
      <c r="B537" s="5"/>
      <c r="C537" s="9">
        <v>136</v>
      </c>
    </row>
    <row r="538" spans="1:3">
      <c r="A538" s="5"/>
      <c r="B538" s="5"/>
      <c r="C538" s="9">
        <v>136</v>
      </c>
    </row>
    <row r="539" spans="1:3">
      <c r="A539" s="5"/>
      <c r="B539" s="5">
        <v>6</v>
      </c>
      <c r="C539" s="9">
        <v>69</v>
      </c>
    </row>
    <row r="540" spans="1:3">
      <c r="A540" s="5"/>
      <c r="B540" s="5"/>
      <c r="C540" s="9">
        <v>69</v>
      </c>
    </row>
    <row r="541" spans="1:3">
      <c r="A541" s="5"/>
      <c r="B541" s="5"/>
      <c r="C541" s="9">
        <v>69</v>
      </c>
    </row>
    <row r="542" spans="1:3">
      <c r="A542" s="5">
        <v>1997</v>
      </c>
      <c r="B542" s="5">
        <v>7</v>
      </c>
      <c r="C542" s="9">
        <v>243</v>
      </c>
    </row>
    <row r="543" spans="1:3">
      <c r="A543" s="5"/>
      <c r="B543" s="5"/>
      <c r="C543" s="9">
        <v>243</v>
      </c>
    </row>
    <row r="544" spans="1:3">
      <c r="A544" s="5"/>
      <c r="B544" s="5"/>
      <c r="C544" s="9">
        <v>243</v>
      </c>
    </row>
    <row r="545" spans="1:3">
      <c r="A545" s="5"/>
      <c r="B545" s="5">
        <v>8</v>
      </c>
      <c r="C545" s="9">
        <v>222</v>
      </c>
    </row>
    <row r="546" spans="1:3">
      <c r="A546" s="5"/>
      <c r="B546" s="5"/>
      <c r="C546" s="9">
        <v>222</v>
      </c>
    </row>
    <row r="547" spans="1:3">
      <c r="A547" s="5"/>
      <c r="B547" s="5"/>
      <c r="C547" s="9">
        <v>222</v>
      </c>
    </row>
    <row r="548" spans="1:3">
      <c r="A548" s="5"/>
      <c r="B548" s="5">
        <v>9</v>
      </c>
      <c r="C548" s="9">
        <v>130</v>
      </c>
    </row>
    <row r="549" spans="1:3">
      <c r="A549" s="5"/>
      <c r="B549" s="5">
        <v>10</v>
      </c>
      <c r="C549" s="9">
        <v>90</v>
      </c>
    </row>
    <row r="550" spans="1:3">
      <c r="A550" s="5"/>
      <c r="B550" s="5">
        <v>11</v>
      </c>
      <c r="C550" s="9">
        <v>74</v>
      </c>
    </row>
    <row r="551" spans="1:3">
      <c r="A551" s="5"/>
      <c r="B551" s="5">
        <v>12</v>
      </c>
      <c r="C551" s="9">
        <v>68</v>
      </c>
    </row>
    <row r="552" spans="1:3">
      <c r="A552" s="5"/>
      <c r="B552" s="5">
        <v>1</v>
      </c>
      <c r="C552" s="9">
        <v>57</v>
      </c>
    </row>
    <row r="553" spans="1:3">
      <c r="A553" s="5"/>
      <c r="B553" s="5">
        <v>2</v>
      </c>
      <c r="C553" s="9">
        <v>47</v>
      </c>
    </row>
    <row r="554" spans="1:3">
      <c r="A554" s="5"/>
      <c r="B554" s="5">
        <v>3</v>
      </c>
      <c r="C554" s="9">
        <v>47</v>
      </c>
    </row>
    <row r="555" spans="1:3">
      <c r="A555" s="5"/>
      <c r="B555" s="5">
        <v>4</v>
      </c>
      <c r="C555" s="9">
        <v>102</v>
      </c>
    </row>
    <row r="556" spans="1:3">
      <c r="A556" s="5"/>
      <c r="B556" s="5">
        <v>5</v>
      </c>
      <c r="C556" s="9">
        <v>217</v>
      </c>
    </row>
    <row r="557" spans="1:3">
      <c r="A557" s="5"/>
      <c r="B557" s="5"/>
      <c r="C557" s="9">
        <v>217</v>
      </c>
    </row>
    <row r="558" spans="1:3">
      <c r="A558" s="5"/>
      <c r="B558" s="5"/>
      <c r="C558" s="9">
        <v>217</v>
      </c>
    </row>
    <row r="559" spans="1:3">
      <c r="A559" s="5"/>
      <c r="B559" s="5">
        <v>6</v>
      </c>
      <c r="C559" s="9">
        <v>141</v>
      </c>
    </row>
    <row r="560" spans="1:3">
      <c r="A560" s="5"/>
      <c r="B560" s="5"/>
      <c r="C560" s="9">
        <v>141</v>
      </c>
    </row>
    <row r="561" spans="1:3">
      <c r="A561" s="5"/>
      <c r="B561" s="5"/>
      <c r="C561" s="9">
        <v>141</v>
      </c>
    </row>
    <row r="562" spans="1:3" ht="13.5" customHeight="1">
      <c r="A562" s="5">
        <v>1998</v>
      </c>
      <c r="B562" s="5">
        <v>7</v>
      </c>
      <c r="C562" s="9">
        <v>179</v>
      </c>
    </row>
    <row r="563" spans="1:3" ht="13.5" customHeight="1">
      <c r="A563" s="5"/>
      <c r="B563" s="5"/>
      <c r="C563" s="9">
        <v>179</v>
      </c>
    </row>
    <row r="564" spans="1:3" ht="13.5" customHeight="1">
      <c r="A564" s="5"/>
      <c r="B564" s="5"/>
      <c r="C564" s="9">
        <v>179</v>
      </c>
    </row>
    <row r="565" spans="1:3">
      <c r="A565" s="5"/>
      <c r="B565" s="5">
        <v>8</v>
      </c>
      <c r="C565" s="9">
        <v>210</v>
      </c>
    </row>
    <row r="566" spans="1:3">
      <c r="A566" s="5"/>
      <c r="B566" s="5"/>
      <c r="C566" s="9">
        <v>210</v>
      </c>
    </row>
    <row r="567" spans="1:3">
      <c r="A567" s="5"/>
      <c r="B567" s="5"/>
      <c r="C567" s="9">
        <v>210</v>
      </c>
    </row>
    <row r="568" spans="1:3">
      <c r="A568" s="5"/>
      <c r="B568" s="5">
        <v>9</v>
      </c>
      <c r="C568" s="9">
        <v>198</v>
      </c>
    </row>
    <row r="569" spans="1:3">
      <c r="A569" s="5"/>
      <c r="B569" s="5">
        <v>10</v>
      </c>
      <c r="C569" s="9">
        <v>144</v>
      </c>
    </row>
    <row r="570" spans="1:3">
      <c r="A570" s="5"/>
      <c r="B570" s="5">
        <v>11</v>
      </c>
      <c r="C570" s="9">
        <v>92</v>
      </c>
    </row>
    <row r="571" spans="1:3">
      <c r="A571" s="5"/>
      <c r="B571" s="5">
        <v>12</v>
      </c>
      <c r="C571" s="9">
        <v>78</v>
      </c>
    </row>
    <row r="572" spans="1:3">
      <c r="A572" s="5"/>
      <c r="B572" s="5">
        <v>1</v>
      </c>
      <c r="C572" s="9">
        <v>60</v>
      </c>
    </row>
    <row r="573" spans="1:3">
      <c r="A573" s="5"/>
      <c r="B573" s="5">
        <v>2</v>
      </c>
      <c r="C573" s="9">
        <v>49</v>
      </c>
    </row>
    <row r="574" spans="1:3">
      <c r="A574" s="5"/>
      <c r="B574" s="5">
        <v>3</v>
      </c>
      <c r="C574" s="9">
        <v>49</v>
      </c>
    </row>
    <row r="575" spans="1:3">
      <c r="A575" s="5"/>
      <c r="B575" s="5">
        <v>4</v>
      </c>
      <c r="C575" s="9">
        <v>40</v>
      </c>
    </row>
    <row r="576" spans="1:3">
      <c r="A576" s="5"/>
      <c r="B576" s="5">
        <v>5</v>
      </c>
      <c r="C576" s="9">
        <v>52</v>
      </c>
    </row>
    <row r="577" spans="1:3">
      <c r="A577" s="5"/>
      <c r="B577" s="5"/>
      <c r="C577" s="9">
        <v>52</v>
      </c>
    </row>
    <row r="578" spans="1:3">
      <c r="A578" s="5"/>
      <c r="B578" s="5"/>
      <c r="C578" s="9">
        <v>52</v>
      </c>
    </row>
    <row r="579" spans="1:3">
      <c r="A579" s="5"/>
      <c r="B579" s="5">
        <v>6</v>
      </c>
      <c r="C579" s="9">
        <v>147</v>
      </c>
    </row>
    <row r="580" spans="1:3">
      <c r="A580" s="5"/>
      <c r="B580" s="5"/>
      <c r="C580" s="9">
        <v>147</v>
      </c>
    </row>
    <row r="581" spans="1:3">
      <c r="A581" s="5"/>
      <c r="B581" s="5"/>
      <c r="C581" s="9">
        <v>147</v>
      </c>
    </row>
    <row r="582" spans="1:3">
      <c r="A582" s="5">
        <v>1999</v>
      </c>
      <c r="B582" s="5">
        <v>7</v>
      </c>
      <c r="C582" s="9">
        <v>448</v>
      </c>
    </row>
    <row r="583" spans="1:3">
      <c r="A583" s="5"/>
      <c r="B583" s="5"/>
      <c r="C583" s="9">
        <v>448</v>
      </c>
    </row>
    <row r="584" spans="1:3">
      <c r="A584" s="5"/>
      <c r="B584" s="5"/>
      <c r="C584" s="9">
        <v>448</v>
      </c>
    </row>
    <row r="585" spans="1:3">
      <c r="A585" s="5"/>
      <c r="B585" s="5">
        <v>8</v>
      </c>
      <c r="C585" s="9">
        <v>244</v>
      </c>
    </row>
    <row r="586" spans="1:3">
      <c r="A586" s="5"/>
      <c r="B586" s="5"/>
      <c r="C586" s="9">
        <v>244</v>
      </c>
    </row>
    <row r="587" spans="1:3">
      <c r="A587" s="5"/>
      <c r="B587" s="5"/>
      <c r="C587" s="9">
        <v>244</v>
      </c>
    </row>
    <row r="588" spans="1:3">
      <c r="A588" s="5"/>
      <c r="B588" s="5">
        <v>9</v>
      </c>
      <c r="C588" s="9">
        <v>152</v>
      </c>
    </row>
    <row r="589" spans="1:3">
      <c r="A589" s="5"/>
      <c r="B589" s="5">
        <v>10</v>
      </c>
      <c r="C589" s="9">
        <v>191</v>
      </c>
    </row>
    <row r="590" spans="1:3">
      <c r="A590" s="5"/>
      <c r="B590" s="5">
        <v>11</v>
      </c>
      <c r="C590" s="9">
        <v>100</v>
      </c>
    </row>
    <row r="591" spans="1:3">
      <c r="A591" s="5"/>
      <c r="B591" s="5">
        <v>12</v>
      </c>
      <c r="C591" s="9">
        <v>69</v>
      </c>
    </row>
    <row r="592" spans="1:3">
      <c r="A592" s="5"/>
      <c r="B592" s="5">
        <v>1</v>
      </c>
      <c r="C592" s="9">
        <v>54</v>
      </c>
    </row>
    <row r="593" spans="1:3">
      <c r="A593" s="5"/>
      <c r="B593" s="5">
        <v>2</v>
      </c>
      <c r="C593" s="9">
        <v>49</v>
      </c>
    </row>
    <row r="594" spans="1:3">
      <c r="A594" s="5"/>
      <c r="B594" s="5">
        <v>3</v>
      </c>
      <c r="C594" s="9">
        <v>49</v>
      </c>
    </row>
    <row r="595" spans="1:3">
      <c r="A595" s="5"/>
      <c r="B595" s="5">
        <v>4</v>
      </c>
      <c r="C595" s="9">
        <v>67</v>
      </c>
    </row>
    <row r="596" spans="1:3">
      <c r="A596" s="5"/>
      <c r="B596" s="5">
        <v>5</v>
      </c>
      <c r="C596" s="9">
        <v>72</v>
      </c>
    </row>
    <row r="597" spans="1:3">
      <c r="A597" s="5"/>
      <c r="B597" s="5"/>
      <c r="C597" s="9">
        <v>72</v>
      </c>
    </row>
    <row r="598" spans="1:3">
      <c r="A598" s="5"/>
      <c r="B598" s="5"/>
      <c r="C598" s="9">
        <v>72</v>
      </c>
    </row>
    <row r="599" spans="1:3">
      <c r="A599" s="5"/>
      <c r="B599" s="5">
        <v>6</v>
      </c>
      <c r="C599" s="9">
        <v>193</v>
      </c>
    </row>
    <row r="600" spans="1:3">
      <c r="A600" s="5"/>
      <c r="B600" s="5"/>
      <c r="C600" s="9">
        <v>193</v>
      </c>
    </row>
    <row r="601" spans="1:3">
      <c r="A601" s="5"/>
      <c r="B601" s="5"/>
      <c r="C601" s="9">
        <v>193</v>
      </c>
    </row>
    <row r="602" spans="1:3">
      <c r="A602" s="5">
        <v>2000</v>
      </c>
      <c r="B602" s="5">
        <v>7</v>
      </c>
      <c r="C602" s="9">
        <v>92</v>
      </c>
    </row>
    <row r="603" spans="1:3">
      <c r="A603" s="5"/>
      <c r="B603" s="5"/>
      <c r="C603" s="9">
        <v>92</v>
      </c>
    </row>
    <row r="604" spans="1:3">
      <c r="A604" s="5"/>
      <c r="B604" s="5"/>
      <c r="C604" s="9">
        <v>92</v>
      </c>
    </row>
    <row r="605" spans="1:3">
      <c r="A605" s="5"/>
      <c r="B605" s="5">
        <v>8</v>
      </c>
      <c r="C605" s="9">
        <v>98</v>
      </c>
    </row>
    <row r="606" spans="1:3">
      <c r="A606" s="5"/>
      <c r="B606" s="5"/>
      <c r="C606" s="9">
        <v>98</v>
      </c>
    </row>
    <row r="607" spans="1:3">
      <c r="A607" s="5"/>
      <c r="B607" s="5"/>
      <c r="C607" s="9">
        <v>98</v>
      </c>
    </row>
    <row r="608" spans="1:3">
      <c r="A608" s="5"/>
      <c r="B608" s="5">
        <v>9</v>
      </c>
      <c r="C608" s="9">
        <v>157</v>
      </c>
    </row>
    <row r="609" spans="1:3">
      <c r="A609" s="5"/>
      <c r="B609" s="5">
        <v>10</v>
      </c>
      <c r="C609" s="9">
        <v>182</v>
      </c>
    </row>
    <row r="610" spans="1:3">
      <c r="A610" s="5"/>
      <c r="B610" s="5">
        <v>11</v>
      </c>
      <c r="C610" s="9">
        <v>98</v>
      </c>
    </row>
    <row r="611" spans="1:3">
      <c r="A611" s="5"/>
      <c r="B611" s="5">
        <v>12</v>
      </c>
      <c r="C611" s="9">
        <v>70</v>
      </c>
    </row>
    <row r="612" spans="1:3">
      <c r="A612" s="5"/>
      <c r="B612" s="5">
        <v>1</v>
      </c>
      <c r="C612" s="9">
        <v>48</v>
      </c>
    </row>
    <row r="613" spans="1:3">
      <c r="A613" s="5"/>
      <c r="B613" s="5">
        <v>2</v>
      </c>
      <c r="C613" s="9">
        <v>49</v>
      </c>
    </row>
    <row r="614" spans="1:3">
      <c r="A614" s="5"/>
      <c r="B614" s="5">
        <v>3</v>
      </c>
      <c r="C614" s="9">
        <v>49</v>
      </c>
    </row>
    <row r="615" spans="1:3">
      <c r="A615" s="5"/>
      <c r="B615" s="5">
        <v>4</v>
      </c>
      <c r="C615" s="9">
        <v>49</v>
      </c>
    </row>
    <row r="616" spans="1:3">
      <c r="A616" s="5"/>
      <c r="B616" s="5">
        <v>5</v>
      </c>
      <c r="C616" s="9">
        <v>74</v>
      </c>
    </row>
    <row r="617" spans="1:3">
      <c r="A617" s="5"/>
      <c r="B617" s="5"/>
      <c r="C617" s="9">
        <v>74</v>
      </c>
    </row>
    <row r="618" spans="1:3">
      <c r="A618" s="5"/>
      <c r="B618" s="5"/>
      <c r="C618" s="9">
        <v>74</v>
      </c>
    </row>
    <row r="619" spans="1:3">
      <c r="A619" s="5"/>
      <c r="B619" s="5">
        <v>6</v>
      </c>
      <c r="C619" s="9">
        <v>101</v>
      </c>
    </row>
    <row r="620" spans="1:3">
      <c r="A620" s="5"/>
      <c r="B620" s="5"/>
      <c r="C620" s="9">
        <v>101</v>
      </c>
    </row>
    <row r="621" spans="1:3">
      <c r="A621" s="5"/>
      <c r="B621" s="5"/>
      <c r="C621" s="9">
        <v>101</v>
      </c>
    </row>
    <row r="622" spans="1:3">
      <c r="A622" s="5">
        <v>2001</v>
      </c>
      <c r="B622" s="5">
        <v>7</v>
      </c>
      <c r="C622" s="9">
        <v>126</v>
      </c>
    </row>
    <row r="623" spans="1:3">
      <c r="A623" s="5"/>
      <c r="B623" s="5"/>
      <c r="C623" s="9">
        <v>126</v>
      </c>
    </row>
    <row r="624" spans="1:3">
      <c r="A624" s="5"/>
      <c r="B624" s="5"/>
      <c r="C624" s="9">
        <v>126</v>
      </c>
    </row>
    <row r="625" spans="1:3">
      <c r="A625" s="5"/>
      <c r="B625" s="5">
        <v>8</v>
      </c>
      <c r="C625" s="9">
        <v>163</v>
      </c>
    </row>
    <row r="626" spans="1:3">
      <c r="A626" s="5"/>
      <c r="B626" s="5"/>
      <c r="C626" s="9">
        <v>163</v>
      </c>
    </row>
    <row r="627" spans="1:3">
      <c r="A627" s="5"/>
      <c r="B627" s="5"/>
      <c r="C627" s="9">
        <v>163</v>
      </c>
    </row>
    <row r="628" spans="1:3">
      <c r="A628" s="5"/>
      <c r="B628" s="5">
        <v>9</v>
      </c>
      <c r="C628" s="9">
        <v>286</v>
      </c>
    </row>
    <row r="629" spans="1:3">
      <c r="A629" s="5"/>
      <c r="B629" s="5">
        <v>10</v>
      </c>
      <c r="C629" s="9">
        <v>272</v>
      </c>
    </row>
    <row r="630" spans="1:3">
      <c r="A630" s="5"/>
      <c r="B630" s="5">
        <v>11</v>
      </c>
      <c r="C630" s="9">
        <v>132</v>
      </c>
    </row>
    <row r="631" spans="1:3">
      <c r="A631" s="5"/>
      <c r="B631" s="5">
        <v>12</v>
      </c>
      <c r="C631" s="9">
        <v>81</v>
      </c>
    </row>
    <row r="632" spans="1:3">
      <c r="A632" s="5"/>
      <c r="B632" s="5">
        <v>1</v>
      </c>
      <c r="C632" s="9">
        <v>56</v>
      </c>
    </row>
    <row r="633" spans="1:3">
      <c r="A633" s="5"/>
      <c r="B633" s="5">
        <v>2</v>
      </c>
      <c r="C633" s="9">
        <v>56</v>
      </c>
    </row>
    <row r="634" spans="1:3">
      <c r="A634" s="5"/>
      <c r="B634" s="5">
        <v>3</v>
      </c>
      <c r="C634" s="9">
        <v>56</v>
      </c>
    </row>
    <row r="635" spans="1:3">
      <c r="A635" s="5"/>
      <c r="B635" s="5">
        <v>4</v>
      </c>
      <c r="C635" s="9">
        <v>52</v>
      </c>
    </row>
    <row r="636" spans="1:3">
      <c r="A636" s="5"/>
      <c r="B636" s="5">
        <v>5</v>
      </c>
      <c r="C636" s="9">
        <v>171</v>
      </c>
    </row>
    <row r="637" spans="1:3">
      <c r="A637" s="5"/>
      <c r="B637" s="5"/>
      <c r="C637" s="9">
        <v>171</v>
      </c>
    </row>
    <row r="638" spans="1:3">
      <c r="A638" s="5"/>
      <c r="B638" s="5"/>
      <c r="C638" s="9">
        <v>171</v>
      </c>
    </row>
    <row r="639" spans="1:3">
      <c r="A639" s="5"/>
      <c r="B639" s="5">
        <v>6</v>
      </c>
      <c r="C639" s="9">
        <v>207</v>
      </c>
    </row>
    <row r="640" spans="1:3">
      <c r="A640" s="5"/>
      <c r="B640" s="5"/>
      <c r="C640" s="9">
        <v>207</v>
      </c>
    </row>
    <row r="641" spans="1:3">
      <c r="A641" s="5"/>
      <c r="B641" s="5"/>
      <c r="C641" s="9">
        <v>207</v>
      </c>
    </row>
    <row r="642" spans="1:3">
      <c r="A642" s="5">
        <v>2002</v>
      </c>
      <c r="B642" s="5">
        <v>7</v>
      </c>
      <c r="C642" s="9">
        <v>111</v>
      </c>
    </row>
    <row r="643" spans="1:3">
      <c r="A643" s="5"/>
      <c r="B643" s="5"/>
      <c r="C643" s="9">
        <v>111</v>
      </c>
    </row>
    <row r="644" spans="1:3">
      <c r="A644" s="5"/>
      <c r="B644" s="5"/>
      <c r="C644" s="9">
        <v>111</v>
      </c>
    </row>
    <row r="645" spans="1:3">
      <c r="A645" s="5"/>
      <c r="B645" s="5">
        <v>8</v>
      </c>
      <c r="C645" s="9">
        <v>100</v>
      </c>
    </row>
    <row r="646" spans="1:3">
      <c r="A646" s="5"/>
      <c r="B646" s="5"/>
      <c r="C646" s="9">
        <v>100</v>
      </c>
    </row>
    <row r="647" spans="1:3">
      <c r="A647" s="5"/>
      <c r="B647" s="5"/>
      <c r="C647" s="9">
        <v>100</v>
      </c>
    </row>
    <row r="648" spans="1:3">
      <c r="A648" s="5"/>
      <c r="B648" s="5">
        <v>9</v>
      </c>
      <c r="C648" s="9">
        <v>89</v>
      </c>
    </row>
    <row r="649" spans="1:3">
      <c r="A649" s="5"/>
      <c r="B649" s="5">
        <v>10</v>
      </c>
      <c r="C649" s="9">
        <v>62</v>
      </c>
    </row>
    <row r="650" spans="1:3">
      <c r="A650" s="5"/>
      <c r="B650" s="5">
        <v>11</v>
      </c>
      <c r="C650" s="9">
        <v>44</v>
      </c>
    </row>
    <row r="651" spans="1:3">
      <c r="A651" s="5"/>
      <c r="B651" s="5">
        <v>12</v>
      </c>
      <c r="C651" s="9">
        <v>42</v>
      </c>
    </row>
    <row r="652" spans="1:3">
      <c r="A652" s="5"/>
      <c r="B652" s="5">
        <v>1</v>
      </c>
      <c r="C652" s="9">
        <v>25</v>
      </c>
    </row>
    <row r="653" spans="1:3">
      <c r="A653" s="5"/>
      <c r="B653" s="5">
        <v>2</v>
      </c>
      <c r="C653" s="9">
        <v>40</v>
      </c>
    </row>
    <row r="654" spans="1:3">
      <c r="A654" s="5"/>
      <c r="B654" s="5">
        <v>3</v>
      </c>
      <c r="C654" s="9">
        <v>40</v>
      </c>
    </row>
    <row r="655" spans="1:3">
      <c r="A655" s="5"/>
      <c r="B655" s="5">
        <v>4</v>
      </c>
      <c r="C655" s="9">
        <v>41</v>
      </c>
    </row>
    <row r="656" spans="1:3">
      <c r="A656" s="5"/>
      <c r="B656" s="5">
        <v>5</v>
      </c>
      <c r="C656" s="9">
        <v>121</v>
      </c>
    </row>
    <row r="657" spans="1:3">
      <c r="A657" s="5"/>
      <c r="B657" s="5"/>
      <c r="C657" s="9">
        <v>121</v>
      </c>
    </row>
    <row r="658" spans="1:3">
      <c r="A658" s="5"/>
      <c r="B658" s="5"/>
      <c r="C658" s="9">
        <v>121</v>
      </c>
    </row>
    <row r="659" spans="1:3">
      <c r="A659" s="5"/>
      <c r="B659" s="5">
        <v>6</v>
      </c>
      <c r="C659" s="9">
        <v>55</v>
      </c>
    </row>
    <row r="660" spans="1:3">
      <c r="A660" s="5"/>
      <c r="B660" s="5"/>
      <c r="C660" s="9">
        <v>55</v>
      </c>
    </row>
    <row r="661" spans="1:3">
      <c r="A661" s="5"/>
      <c r="B661" s="5"/>
      <c r="C661" s="9">
        <v>55</v>
      </c>
    </row>
    <row r="662" spans="1:3">
      <c r="A662" s="5">
        <v>2003</v>
      </c>
      <c r="B662" s="5">
        <v>7</v>
      </c>
      <c r="C662" s="9">
        <v>145</v>
      </c>
    </row>
    <row r="663" spans="1:3">
      <c r="A663" s="5"/>
      <c r="B663" s="5"/>
      <c r="C663" s="9">
        <v>145</v>
      </c>
    </row>
    <row r="664" spans="1:3">
      <c r="A664" s="5"/>
      <c r="B664" s="5"/>
      <c r="C664" s="9">
        <v>145</v>
      </c>
    </row>
    <row r="665" spans="1:3">
      <c r="A665" s="5"/>
      <c r="B665" s="5">
        <v>8</v>
      </c>
      <c r="C665" s="9">
        <v>399</v>
      </c>
    </row>
    <row r="666" spans="1:3">
      <c r="A666" s="5"/>
      <c r="B666" s="5"/>
      <c r="C666" s="9">
        <v>399</v>
      </c>
    </row>
    <row r="667" spans="1:3">
      <c r="A667" s="5"/>
      <c r="B667" s="5"/>
      <c r="C667" s="9">
        <v>399</v>
      </c>
    </row>
    <row r="668" spans="1:3">
      <c r="A668" s="5"/>
      <c r="B668" s="5">
        <v>9</v>
      </c>
      <c r="C668" s="9">
        <v>365</v>
      </c>
    </row>
    <row r="669" spans="1:3">
      <c r="A669" s="5"/>
      <c r="B669" s="5">
        <v>10</v>
      </c>
      <c r="C669" s="9">
        <v>433</v>
      </c>
    </row>
    <row r="670" spans="1:3">
      <c r="A670" s="5"/>
      <c r="B670" s="5">
        <v>11</v>
      </c>
      <c r="C670" s="9">
        <v>166</v>
      </c>
    </row>
    <row r="671" spans="1:3">
      <c r="A671" s="5"/>
      <c r="B671" s="5">
        <v>12</v>
      </c>
      <c r="C671" s="9">
        <v>100</v>
      </c>
    </row>
    <row r="672" spans="1:3">
      <c r="A672" s="5"/>
      <c r="B672" s="5">
        <v>1</v>
      </c>
      <c r="C672" s="9">
        <v>57</v>
      </c>
    </row>
    <row r="673" spans="1:3">
      <c r="A673" s="5"/>
      <c r="B673" s="5">
        <v>2</v>
      </c>
      <c r="C673" s="9">
        <v>59</v>
      </c>
    </row>
    <row r="674" spans="1:3">
      <c r="A674" s="5"/>
      <c r="B674" s="5">
        <v>3</v>
      </c>
      <c r="C674" s="9">
        <v>59</v>
      </c>
    </row>
    <row r="675" spans="1:3">
      <c r="A675" s="5"/>
      <c r="B675" s="5">
        <v>4</v>
      </c>
      <c r="C675" s="9">
        <v>56</v>
      </c>
    </row>
    <row r="676" spans="1:3">
      <c r="A676" s="5"/>
      <c r="B676" s="5">
        <v>5</v>
      </c>
      <c r="C676" s="9">
        <v>70</v>
      </c>
    </row>
    <row r="677" spans="1:3">
      <c r="A677" s="5"/>
      <c r="B677" s="5"/>
      <c r="C677" s="9">
        <v>70</v>
      </c>
    </row>
    <row r="678" spans="1:3">
      <c r="A678" s="5"/>
      <c r="B678" s="5"/>
      <c r="C678" s="9">
        <v>70</v>
      </c>
    </row>
    <row r="679" spans="1:3">
      <c r="A679" s="5"/>
      <c r="B679" s="5">
        <v>6</v>
      </c>
      <c r="C679" s="9">
        <v>95</v>
      </c>
    </row>
    <row r="680" spans="1:3">
      <c r="A680" s="5"/>
      <c r="B680" s="5"/>
      <c r="C680" s="9">
        <v>95</v>
      </c>
    </row>
    <row r="681" spans="1:3">
      <c r="A681" s="5"/>
      <c r="B681" s="5"/>
      <c r="C681" s="9">
        <v>95</v>
      </c>
    </row>
    <row r="682" spans="1:3">
      <c r="A682" s="5">
        <v>2004</v>
      </c>
      <c r="B682" s="5">
        <v>7</v>
      </c>
      <c r="C682" s="9">
        <v>213</v>
      </c>
    </row>
    <row r="683" spans="1:3">
      <c r="A683" s="5"/>
      <c r="B683" s="5"/>
      <c r="C683" s="9">
        <v>213</v>
      </c>
    </row>
    <row r="684" spans="1:3">
      <c r="A684" s="5"/>
      <c r="B684" s="5"/>
      <c r="C684" s="9">
        <v>213</v>
      </c>
    </row>
    <row r="685" spans="1:3">
      <c r="A685" s="5"/>
      <c r="B685" s="5">
        <v>8</v>
      </c>
      <c r="C685" s="9">
        <v>282</v>
      </c>
    </row>
    <row r="686" spans="1:3">
      <c r="A686" s="5"/>
      <c r="B686" s="5"/>
      <c r="C686" s="9">
        <v>282</v>
      </c>
    </row>
    <row r="687" spans="1:3">
      <c r="A687" s="5"/>
      <c r="B687" s="5"/>
      <c r="C687" s="9">
        <v>282</v>
      </c>
    </row>
    <row r="688" spans="1:3">
      <c r="A688" s="5"/>
      <c r="B688" s="5">
        <v>9</v>
      </c>
      <c r="C688" s="9">
        <v>234</v>
      </c>
    </row>
    <row r="689" spans="1:3">
      <c r="A689" s="5"/>
      <c r="B689" s="5">
        <v>10</v>
      </c>
      <c r="C689" s="9">
        <v>219</v>
      </c>
    </row>
    <row r="690" spans="1:3">
      <c r="A690" s="5"/>
      <c r="B690" s="5">
        <v>11</v>
      </c>
      <c r="C690" s="9">
        <v>117</v>
      </c>
    </row>
    <row r="691" spans="1:3">
      <c r="A691" s="5"/>
      <c r="B691" s="5">
        <v>12</v>
      </c>
      <c r="C691" s="9">
        <v>87</v>
      </c>
    </row>
    <row r="692" spans="1:3">
      <c r="A692" s="5"/>
      <c r="B692" s="5">
        <v>1</v>
      </c>
      <c r="C692" s="9">
        <v>67</v>
      </c>
    </row>
    <row r="693" spans="1:3">
      <c r="A693" s="5"/>
      <c r="B693" s="5">
        <v>2</v>
      </c>
      <c r="C693" s="9">
        <v>66</v>
      </c>
    </row>
    <row r="694" spans="1:3">
      <c r="A694" s="5"/>
      <c r="B694" s="5">
        <v>3</v>
      </c>
      <c r="C694" s="9">
        <v>66</v>
      </c>
    </row>
    <row r="695" spans="1:3">
      <c r="A695" s="5"/>
      <c r="B695" s="5">
        <v>4</v>
      </c>
      <c r="C695" s="9">
        <v>122</v>
      </c>
    </row>
    <row r="696" spans="1:3">
      <c r="A696" s="5"/>
      <c r="B696" s="5">
        <v>5</v>
      </c>
      <c r="C696" s="9">
        <v>148</v>
      </c>
    </row>
    <row r="697" spans="1:3">
      <c r="A697" s="5"/>
      <c r="B697" s="5"/>
      <c r="C697" s="9">
        <v>148</v>
      </c>
    </row>
    <row r="698" spans="1:3">
      <c r="A698" s="5"/>
      <c r="B698" s="5"/>
      <c r="C698" s="9">
        <v>148</v>
      </c>
    </row>
    <row r="699" spans="1:3">
      <c r="A699" s="5"/>
      <c r="B699" s="5">
        <v>6</v>
      </c>
      <c r="C699" s="9">
        <v>171</v>
      </c>
    </row>
    <row r="700" spans="1:3">
      <c r="A700" s="5"/>
      <c r="B700" s="5"/>
      <c r="C700" s="9">
        <v>171</v>
      </c>
    </row>
    <row r="701" spans="1:3">
      <c r="A701" s="5"/>
      <c r="B701" s="5"/>
      <c r="C701" s="9">
        <v>171</v>
      </c>
    </row>
    <row r="702" spans="1:3">
      <c r="A702" s="5">
        <v>2005</v>
      </c>
      <c r="B702" s="5">
        <v>7</v>
      </c>
      <c r="C702" s="9">
        <v>267</v>
      </c>
    </row>
    <row r="703" spans="1:3">
      <c r="A703" s="5"/>
      <c r="B703" s="5"/>
      <c r="C703" s="9">
        <v>267</v>
      </c>
    </row>
    <row r="704" spans="1:3">
      <c r="A704" s="5"/>
      <c r="B704" s="5"/>
      <c r="C704" s="9">
        <v>267</v>
      </c>
    </row>
    <row r="705" spans="1:3">
      <c r="A705" s="5"/>
      <c r="B705" s="5">
        <v>8</v>
      </c>
      <c r="C705" s="9">
        <v>238</v>
      </c>
    </row>
    <row r="706" spans="1:3">
      <c r="A706" s="5"/>
      <c r="B706" s="5"/>
      <c r="C706" s="9">
        <v>238</v>
      </c>
    </row>
    <row r="707" spans="1:3">
      <c r="A707" s="5"/>
      <c r="B707" s="5"/>
      <c r="C707" s="9">
        <v>238</v>
      </c>
    </row>
    <row r="708" spans="1:3">
      <c r="A708" s="5"/>
      <c r="B708" s="5">
        <v>9</v>
      </c>
      <c r="C708" s="9">
        <v>372</v>
      </c>
    </row>
    <row r="709" spans="1:3">
      <c r="A709" s="5"/>
      <c r="B709" s="5">
        <v>10</v>
      </c>
      <c r="C709" s="9">
        <v>570</v>
      </c>
    </row>
    <row r="710" spans="1:3">
      <c r="A710" s="5"/>
      <c r="B710" s="5">
        <v>11</v>
      </c>
      <c r="C710" s="9">
        <v>185</v>
      </c>
    </row>
    <row r="711" spans="1:3">
      <c r="A711" s="5"/>
      <c r="B711" s="5">
        <v>12</v>
      </c>
      <c r="C711" s="9">
        <v>102</v>
      </c>
    </row>
    <row r="712" spans="1:3">
      <c r="A712" s="5"/>
      <c r="B712" s="5">
        <v>1</v>
      </c>
      <c r="C712" s="10">
        <v>83</v>
      </c>
    </row>
    <row r="713" spans="1:3">
      <c r="A713" s="5"/>
      <c r="B713" s="5">
        <v>2</v>
      </c>
      <c r="C713" s="10">
        <v>77</v>
      </c>
    </row>
    <row r="714" spans="1:3">
      <c r="A714" s="5"/>
      <c r="B714" s="5">
        <v>3</v>
      </c>
      <c r="C714" s="10">
        <v>77</v>
      </c>
    </row>
    <row r="715" spans="1:3">
      <c r="A715" s="5"/>
      <c r="B715" s="5">
        <v>4</v>
      </c>
      <c r="C715" s="10">
        <v>81</v>
      </c>
    </row>
    <row r="716" spans="1:3">
      <c r="A716" s="5"/>
      <c r="B716" s="5">
        <v>5</v>
      </c>
      <c r="C716" s="10">
        <v>114</v>
      </c>
    </row>
    <row r="717" spans="1:3">
      <c r="A717" s="5"/>
      <c r="B717" s="5"/>
      <c r="C717" s="10">
        <v>114</v>
      </c>
    </row>
    <row r="718" spans="1:3">
      <c r="A718" s="5"/>
      <c r="B718" s="5"/>
      <c r="C718" s="10">
        <v>114</v>
      </c>
    </row>
    <row r="719" spans="1:3">
      <c r="A719" s="5"/>
      <c r="B719" s="5">
        <v>6</v>
      </c>
      <c r="C719" s="10">
        <v>109</v>
      </c>
    </row>
    <row r="720" spans="1:3">
      <c r="A720" s="5"/>
      <c r="B720" s="5"/>
      <c r="C720" s="10">
        <v>109</v>
      </c>
    </row>
    <row r="721" spans="1:3">
      <c r="A721" s="5"/>
      <c r="B721" s="5"/>
      <c r="C721" s="10">
        <v>109</v>
      </c>
    </row>
    <row r="722" spans="1:3">
      <c r="A722" s="5">
        <v>2006</v>
      </c>
      <c r="B722" s="5">
        <v>7</v>
      </c>
      <c r="C722" s="10">
        <v>135</v>
      </c>
    </row>
    <row r="723" spans="1:3">
      <c r="A723" s="5"/>
      <c r="B723" s="5"/>
      <c r="C723" s="10">
        <v>135</v>
      </c>
    </row>
    <row r="724" spans="1:3">
      <c r="A724" s="5"/>
      <c r="B724" s="5"/>
      <c r="C724" s="10">
        <v>135</v>
      </c>
    </row>
    <row r="725" spans="1:3">
      <c r="A725" s="5"/>
      <c r="B725" s="5">
        <v>8</v>
      </c>
      <c r="C725" s="10">
        <v>180</v>
      </c>
    </row>
    <row r="726" spans="1:3">
      <c r="A726" s="5"/>
      <c r="B726" s="5"/>
      <c r="C726" s="10">
        <v>180</v>
      </c>
    </row>
    <row r="727" spans="1:3">
      <c r="A727" s="5"/>
      <c r="B727" s="5"/>
      <c r="C727" s="10">
        <v>180</v>
      </c>
    </row>
    <row r="728" spans="1:3">
      <c r="A728" s="5"/>
      <c r="B728" s="5">
        <v>9</v>
      </c>
      <c r="C728" s="10">
        <v>300</v>
      </c>
    </row>
    <row r="729" spans="1:3">
      <c r="A729" s="5"/>
      <c r="B729" s="5">
        <v>10</v>
      </c>
      <c r="C729" s="10">
        <v>193</v>
      </c>
    </row>
    <row r="730" spans="1:3">
      <c r="A730" s="5"/>
      <c r="B730" s="5">
        <v>11</v>
      </c>
      <c r="C730" s="10">
        <v>115</v>
      </c>
    </row>
    <row r="731" spans="1:3">
      <c r="A731" s="5"/>
      <c r="B731" s="5">
        <v>12</v>
      </c>
      <c r="C731" s="10">
        <v>79</v>
      </c>
    </row>
    <row r="732" spans="1:3">
      <c r="A732" s="5"/>
      <c r="B732" s="5">
        <v>1</v>
      </c>
      <c r="C732" s="11">
        <v>66.92</v>
      </c>
    </row>
    <row r="733" spans="1:3">
      <c r="A733" s="5"/>
      <c r="B733" s="5">
        <v>2</v>
      </c>
      <c r="C733" s="11">
        <v>56.58</v>
      </c>
    </row>
    <row r="734" spans="1:3">
      <c r="A734" s="5"/>
      <c r="B734" s="5">
        <v>3</v>
      </c>
      <c r="C734" s="11">
        <v>56.37</v>
      </c>
    </row>
    <row r="735" spans="1:3">
      <c r="A735" s="5"/>
      <c r="B735" s="5">
        <v>4</v>
      </c>
      <c r="C735" s="11">
        <v>56.63</v>
      </c>
    </row>
    <row r="736" spans="1:3">
      <c r="A736" s="5"/>
      <c r="B736" s="5">
        <v>5</v>
      </c>
      <c r="C736" s="11">
        <v>72.41</v>
      </c>
    </row>
    <row r="737" spans="1:3">
      <c r="A737" s="5"/>
      <c r="B737" s="5"/>
      <c r="C737" s="11">
        <v>72.41</v>
      </c>
    </row>
    <row r="738" spans="1:3">
      <c r="A738" s="5"/>
      <c r="B738" s="5"/>
      <c r="C738" s="11">
        <v>72.41</v>
      </c>
    </row>
    <row r="739" spans="1:3">
      <c r="A739" s="5"/>
      <c r="B739" s="5">
        <v>6</v>
      </c>
      <c r="C739" s="11">
        <v>195.95</v>
      </c>
    </row>
    <row r="740" spans="1:3">
      <c r="A740" s="5"/>
      <c r="B740" s="5"/>
      <c r="C740" s="11">
        <v>195.95</v>
      </c>
    </row>
    <row r="741" spans="1:3">
      <c r="A741" s="5"/>
      <c r="B741" s="5"/>
      <c r="C741" s="11">
        <v>195.95</v>
      </c>
    </row>
    <row r="742" spans="1:3">
      <c r="A742" s="5">
        <v>2007</v>
      </c>
      <c r="B742" s="5">
        <v>7</v>
      </c>
      <c r="C742" s="11">
        <v>252.4</v>
      </c>
    </row>
    <row r="743" spans="1:3">
      <c r="A743" s="5"/>
      <c r="B743" s="5"/>
      <c r="C743" s="11">
        <v>252.4</v>
      </c>
    </row>
    <row r="744" spans="1:3">
      <c r="A744" s="5"/>
      <c r="B744" s="5"/>
      <c r="C744" s="11">
        <v>252.4</v>
      </c>
    </row>
    <row r="745" spans="1:3">
      <c r="A745" s="5"/>
      <c r="B745" s="5">
        <v>8</v>
      </c>
      <c r="C745" s="11">
        <v>200.6</v>
      </c>
    </row>
    <row r="746" spans="1:3">
      <c r="A746" s="5"/>
      <c r="B746" s="5"/>
      <c r="C746" s="11">
        <v>200.6</v>
      </c>
    </row>
    <row r="747" spans="1:3">
      <c r="A747" s="5"/>
      <c r="B747" s="5"/>
      <c r="C747" s="11">
        <v>200.6</v>
      </c>
    </row>
    <row r="748" spans="1:3">
      <c r="A748" s="5"/>
      <c r="B748" s="5">
        <v>9</v>
      </c>
      <c r="C748" s="11">
        <v>317.3</v>
      </c>
    </row>
    <row r="749" spans="1:3">
      <c r="A749" s="5"/>
      <c r="B749" s="5">
        <v>10</v>
      </c>
      <c r="C749" s="11">
        <v>450.3</v>
      </c>
    </row>
    <row r="750" spans="1:3">
      <c r="A750" s="5"/>
      <c r="B750" s="5">
        <v>11</v>
      </c>
      <c r="C750" s="11">
        <v>190.31</v>
      </c>
    </row>
    <row r="751" spans="1:3">
      <c r="A751" s="5"/>
      <c r="B751" s="5">
        <v>12</v>
      </c>
      <c r="C751" s="11">
        <v>115.6</v>
      </c>
    </row>
    <row r="752" spans="1:3">
      <c r="A752" s="5"/>
      <c r="B752" s="5">
        <v>1</v>
      </c>
      <c r="C752" s="11">
        <v>58.8</v>
      </c>
    </row>
    <row r="753" spans="1:3">
      <c r="A753" s="5"/>
      <c r="B753" s="5">
        <v>2</v>
      </c>
      <c r="C753" s="11">
        <v>79.3</v>
      </c>
    </row>
    <row r="754" spans="1:3">
      <c r="A754" s="5"/>
      <c r="B754" s="5">
        <v>3</v>
      </c>
      <c r="C754" s="11">
        <v>84.9</v>
      </c>
    </row>
    <row r="755" spans="1:3">
      <c r="A755" s="5"/>
      <c r="B755" s="5">
        <v>4</v>
      </c>
      <c r="C755" s="11">
        <v>99.7</v>
      </c>
    </row>
    <row r="756" spans="1:3">
      <c r="A756" s="5"/>
      <c r="B756" s="5">
        <v>5</v>
      </c>
      <c r="C756" s="11">
        <v>79.8</v>
      </c>
    </row>
    <row r="757" spans="1:3">
      <c r="A757" s="5"/>
      <c r="B757" s="5"/>
      <c r="C757" s="11">
        <v>79.8</v>
      </c>
    </row>
    <row r="758" spans="1:3">
      <c r="A758" s="5"/>
      <c r="B758" s="5"/>
      <c r="C758" s="11">
        <v>79.8</v>
      </c>
    </row>
    <row r="759" spans="1:3">
      <c r="A759" s="5"/>
      <c r="B759" s="5">
        <v>6</v>
      </c>
      <c r="C759" s="11">
        <v>79</v>
      </c>
    </row>
    <row r="760" spans="1:3">
      <c r="A760" s="5"/>
      <c r="B760" s="5"/>
      <c r="C760" s="11">
        <v>79</v>
      </c>
    </row>
    <row r="761" spans="1:3">
      <c r="A761" s="5"/>
      <c r="B761" s="5"/>
      <c r="C761" s="11">
        <v>79</v>
      </c>
    </row>
    <row r="762" spans="1:3">
      <c r="A762" s="5">
        <v>2008</v>
      </c>
      <c r="B762" s="5">
        <v>7</v>
      </c>
      <c r="C762" s="11">
        <v>112.55</v>
      </c>
    </row>
    <row r="763" spans="1:3">
      <c r="A763" s="5"/>
      <c r="B763" s="5"/>
      <c r="C763" s="11">
        <v>112.55</v>
      </c>
    </row>
    <row r="764" spans="1:3">
      <c r="A764" s="5"/>
      <c r="B764" s="5"/>
      <c r="C764" s="11">
        <v>112.55</v>
      </c>
    </row>
    <row r="765" spans="1:3" ht="12" customHeight="1">
      <c r="A765" s="5"/>
      <c r="B765" s="5">
        <v>8</v>
      </c>
      <c r="C765" s="11">
        <v>220</v>
      </c>
    </row>
    <row r="766" spans="1:3" ht="12" customHeight="1">
      <c r="A766" s="5"/>
      <c r="B766" s="5"/>
      <c r="C766" s="11">
        <v>220</v>
      </c>
    </row>
    <row r="767" spans="1:3" ht="12" customHeight="1">
      <c r="A767" s="5"/>
      <c r="B767" s="5"/>
      <c r="C767" s="11">
        <v>220</v>
      </c>
    </row>
    <row r="768" spans="1:3">
      <c r="A768" s="5"/>
      <c r="B768" s="5">
        <v>9</v>
      </c>
      <c r="C768" s="11">
        <v>232.4</v>
      </c>
    </row>
    <row r="769" spans="1:3">
      <c r="A769" s="5"/>
      <c r="B769" s="5">
        <v>10</v>
      </c>
      <c r="C769" s="11">
        <v>229.5</v>
      </c>
    </row>
    <row r="770" spans="1:3">
      <c r="A770" s="5"/>
      <c r="B770" s="5">
        <v>11</v>
      </c>
      <c r="C770" s="11">
        <v>198.74</v>
      </c>
    </row>
    <row r="771" spans="1:3">
      <c r="A771" s="5"/>
      <c r="B771" s="5">
        <v>12</v>
      </c>
      <c r="C771" s="11">
        <v>150</v>
      </c>
    </row>
    <row r="772" spans="1:3">
      <c r="A772" s="5"/>
      <c r="B772" s="5">
        <v>1</v>
      </c>
      <c r="C772" s="11">
        <v>40.6</v>
      </c>
    </row>
    <row r="773" spans="1:3">
      <c r="A773" s="5"/>
      <c r="B773" s="5">
        <v>2</v>
      </c>
      <c r="C773" s="11">
        <v>51.5</v>
      </c>
    </row>
    <row r="774" spans="1:3">
      <c r="A774" s="5"/>
      <c r="B774" s="5">
        <v>3</v>
      </c>
      <c r="C774" s="11">
        <v>66.3</v>
      </c>
    </row>
    <row r="775" spans="1:3">
      <c r="A775" s="5"/>
      <c r="B775" s="5">
        <v>4</v>
      </c>
      <c r="C775" s="11">
        <v>108</v>
      </c>
    </row>
    <row r="776" spans="1:3">
      <c r="A776" s="5"/>
      <c r="B776" s="5">
        <v>5</v>
      </c>
      <c r="C776" s="11">
        <v>135.19999999999999</v>
      </c>
    </row>
    <row r="777" spans="1:3">
      <c r="A777" s="5"/>
      <c r="B777" s="5"/>
      <c r="C777" s="11">
        <v>135.19999999999999</v>
      </c>
    </row>
    <row r="778" spans="1:3">
      <c r="A778" s="5"/>
      <c r="B778" s="5"/>
      <c r="C778" s="11">
        <v>135.19999999999999</v>
      </c>
    </row>
    <row r="779" spans="1:3">
      <c r="A779" s="5"/>
      <c r="B779" s="5">
        <v>6</v>
      </c>
      <c r="C779" s="11">
        <v>104.2</v>
      </c>
    </row>
    <row r="780" spans="1:3">
      <c r="A780" s="5"/>
      <c r="B780" s="5"/>
      <c r="C780" s="11">
        <v>104.2</v>
      </c>
    </row>
    <row r="781" spans="1:3">
      <c r="A781" s="5"/>
      <c r="B781" s="5"/>
      <c r="C781" s="11">
        <v>104.2</v>
      </c>
    </row>
    <row r="782" spans="1:3">
      <c r="A782" s="5">
        <v>2009</v>
      </c>
      <c r="B782" s="5">
        <v>7</v>
      </c>
      <c r="C782" s="11">
        <v>144.9</v>
      </c>
    </row>
    <row r="783" spans="1:3">
      <c r="A783" s="5"/>
      <c r="B783" s="5"/>
      <c r="C783" s="11">
        <v>144.9</v>
      </c>
    </row>
    <row r="784" spans="1:3">
      <c r="A784" s="5"/>
      <c r="B784" s="5"/>
      <c r="C784" s="11">
        <v>144.9</v>
      </c>
    </row>
    <row r="785" spans="1:3">
      <c r="A785" s="5"/>
      <c r="B785" s="5">
        <v>8</v>
      </c>
      <c r="C785" s="11">
        <f>168+40.7</f>
        <v>208.7</v>
      </c>
    </row>
    <row r="786" spans="1:3">
      <c r="A786" s="5"/>
      <c r="B786" s="5"/>
      <c r="C786" s="11">
        <f>168+40.7</f>
        <v>208.7</v>
      </c>
    </row>
    <row r="787" spans="1:3">
      <c r="A787" s="5"/>
      <c r="B787" s="5"/>
      <c r="C787" s="11">
        <f>168+40.7</f>
        <v>208.7</v>
      </c>
    </row>
    <row r="788" spans="1:3">
      <c r="A788" s="5"/>
      <c r="B788" s="5">
        <v>9</v>
      </c>
      <c r="C788" s="11">
        <v>270</v>
      </c>
    </row>
    <row r="789" spans="1:3">
      <c r="A789" s="5"/>
      <c r="B789" s="5">
        <v>10</v>
      </c>
      <c r="C789" s="11">
        <v>130.5</v>
      </c>
    </row>
    <row r="790" spans="1:3">
      <c r="A790" s="5"/>
      <c r="B790" s="5">
        <v>11</v>
      </c>
      <c r="C790" s="11">
        <v>129.9</v>
      </c>
    </row>
    <row r="791" spans="1:3">
      <c r="A791" s="5"/>
      <c r="B791" s="5">
        <v>12</v>
      </c>
      <c r="C791" s="11">
        <v>166.3</v>
      </c>
    </row>
    <row r="792" spans="1:3">
      <c r="A792" s="5"/>
      <c r="B792" s="5">
        <v>1</v>
      </c>
      <c r="C792" s="11">
        <v>53.29</v>
      </c>
    </row>
    <row r="793" spans="1:3">
      <c r="A793" s="5"/>
      <c r="B793" s="5">
        <v>2</v>
      </c>
      <c r="C793" s="11">
        <v>52.2</v>
      </c>
    </row>
    <row r="794" spans="1:3">
      <c r="A794" s="5"/>
      <c r="B794" s="5">
        <v>3</v>
      </c>
      <c r="C794" s="11">
        <v>55.96</v>
      </c>
    </row>
    <row r="795" spans="1:3">
      <c r="A795" s="5"/>
      <c r="B795" s="5">
        <v>4</v>
      </c>
      <c r="C795" s="11">
        <v>60.96</v>
      </c>
    </row>
    <row r="796" spans="1:3">
      <c r="A796" s="5"/>
      <c r="B796" s="5">
        <v>5</v>
      </c>
      <c r="C796" s="11">
        <v>106.3</v>
      </c>
    </row>
    <row r="797" spans="1:3">
      <c r="A797" s="5"/>
      <c r="B797" s="5"/>
      <c r="C797" s="11">
        <v>106.3</v>
      </c>
    </row>
    <row r="798" spans="1:3">
      <c r="A798" s="5"/>
      <c r="B798" s="5"/>
      <c r="C798" s="11">
        <v>106.3</v>
      </c>
    </row>
    <row r="799" spans="1:3">
      <c r="A799" s="5"/>
      <c r="B799" s="5">
        <v>6</v>
      </c>
      <c r="C799" s="11">
        <v>142.29</v>
      </c>
    </row>
    <row r="800" spans="1:3">
      <c r="A800" s="5"/>
      <c r="B800" s="5"/>
      <c r="C800" s="11">
        <v>142.29</v>
      </c>
    </row>
    <row r="801" spans="1:3">
      <c r="A801" s="5"/>
      <c r="B801" s="5"/>
      <c r="C801" s="11">
        <v>142.29</v>
      </c>
    </row>
    <row r="802" spans="1:3">
      <c r="A802" s="5">
        <v>2010</v>
      </c>
      <c r="B802" s="5">
        <v>7</v>
      </c>
      <c r="C802" s="11">
        <v>155.80000000000001</v>
      </c>
    </row>
    <row r="803" spans="1:3">
      <c r="A803" s="5"/>
      <c r="B803" s="5"/>
      <c r="C803" s="11">
        <v>155.80000000000001</v>
      </c>
    </row>
    <row r="804" spans="1:3">
      <c r="A804" s="5"/>
      <c r="B804" s="5"/>
      <c r="C804" s="11">
        <v>155.80000000000001</v>
      </c>
    </row>
    <row r="805" spans="1:3">
      <c r="A805" s="5"/>
      <c r="B805" s="5">
        <v>8</v>
      </c>
      <c r="C805" s="11">
        <v>160.97999999999999</v>
      </c>
    </row>
    <row r="806" spans="1:3">
      <c r="A806" s="5"/>
      <c r="B806" s="5"/>
      <c r="C806" s="11">
        <v>160.97999999999999</v>
      </c>
    </row>
    <row r="807" spans="1:3">
      <c r="A807" s="5"/>
      <c r="B807" s="5"/>
      <c r="C807" s="11">
        <v>160.97999999999999</v>
      </c>
    </row>
    <row r="808" spans="1:3" ht="15" customHeight="1">
      <c r="A808" s="5"/>
      <c r="B808" s="5">
        <v>9</v>
      </c>
      <c r="C808" s="11">
        <v>133.69999999999999</v>
      </c>
    </row>
    <row r="809" spans="1:3">
      <c r="A809" s="5"/>
      <c r="B809" s="5">
        <v>10</v>
      </c>
      <c r="C809" s="11">
        <v>141.5</v>
      </c>
    </row>
    <row r="810" spans="1:3">
      <c r="A810" s="5"/>
      <c r="B810" s="5">
        <v>11</v>
      </c>
      <c r="C810" s="11">
        <v>178</v>
      </c>
    </row>
    <row r="811" spans="1:3">
      <c r="A811" s="5"/>
      <c r="B811" s="5">
        <v>12</v>
      </c>
      <c r="C811" s="11">
        <v>192</v>
      </c>
    </row>
    <row r="812" spans="1:3">
      <c r="A812" s="5"/>
      <c r="B812" s="5">
        <v>1</v>
      </c>
      <c r="C812" s="11">
        <v>64.358709677419299</v>
      </c>
    </row>
    <row r="813" spans="1:3">
      <c r="A813" s="5"/>
      <c r="B813" s="5">
        <v>2</v>
      </c>
      <c r="C813" s="11">
        <v>50.907499999999999</v>
      </c>
    </row>
    <row r="814" spans="1:3">
      <c r="A814" s="5"/>
      <c r="B814" s="5">
        <v>3</v>
      </c>
      <c r="C814" s="11">
        <v>47.865161290322597</v>
      </c>
    </row>
    <row r="815" spans="1:3">
      <c r="A815" s="5"/>
      <c r="B815" s="5">
        <v>4</v>
      </c>
      <c r="C815" s="11">
        <v>46.99</v>
      </c>
    </row>
    <row r="816" spans="1:3">
      <c r="A816" s="5"/>
      <c r="B816" s="5">
        <v>5</v>
      </c>
      <c r="C816" s="11">
        <v>77.149677419354802</v>
      </c>
    </row>
    <row r="817" spans="1:3">
      <c r="A817" s="5"/>
      <c r="B817" s="5"/>
      <c r="C817" s="11">
        <v>77.149677419354802</v>
      </c>
    </row>
    <row r="818" spans="1:3">
      <c r="A818" s="5"/>
      <c r="B818" s="5"/>
      <c r="C818" s="11">
        <v>77.149677419354802</v>
      </c>
    </row>
    <row r="819" spans="1:3">
      <c r="A819" s="5"/>
      <c r="B819" s="5">
        <v>6</v>
      </c>
      <c r="C819" s="11">
        <v>93.744666666666703</v>
      </c>
    </row>
    <row r="820" spans="1:3">
      <c r="A820" s="5"/>
      <c r="B820" s="5"/>
      <c r="C820" s="11">
        <v>93.744666666666703</v>
      </c>
    </row>
    <row r="821" spans="1:3">
      <c r="A821" s="5"/>
      <c r="B821" s="5"/>
      <c r="C821" s="11">
        <v>93.744666666666703</v>
      </c>
    </row>
    <row r="822" spans="1:3" ht="16.75" customHeight="1">
      <c r="A822" s="5">
        <v>2011</v>
      </c>
      <c r="B822" s="5">
        <v>7</v>
      </c>
      <c r="C822" s="11">
        <v>208.593548387097</v>
      </c>
    </row>
    <row r="823" spans="1:3" ht="16.75" customHeight="1">
      <c r="A823" s="5"/>
      <c r="B823" s="5"/>
      <c r="C823" s="11">
        <v>208.593548387097</v>
      </c>
    </row>
    <row r="824" spans="1:3" ht="16.75" customHeight="1">
      <c r="A824" s="5"/>
      <c r="B824" s="5"/>
      <c r="C824" s="11">
        <v>208.593548387097</v>
      </c>
    </row>
    <row r="825" spans="1:3">
      <c r="A825" s="5"/>
      <c r="B825" s="5">
        <v>8</v>
      </c>
      <c r="C825" s="11">
        <v>133.93870967741901</v>
      </c>
    </row>
    <row r="826" spans="1:3">
      <c r="A826" s="5"/>
      <c r="B826" s="5"/>
      <c r="C826" s="11">
        <v>133.93870967741901</v>
      </c>
    </row>
    <row r="827" spans="1:3">
      <c r="A827" s="5"/>
      <c r="B827" s="5"/>
      <c r="C827" s="11">
        <v>133.93870967741901</v>
      </c>
    </row>
    <row r="828" spans="1:3" ht="15" customHeight="1">
      <c r="A828" s="5"/>
      <c r="B828" s="5">
        <v>9</v>
      </c>
      <c r="C828" s="11">
        <v>274.23666666666702</v>
      </c>
    </row>
    <row r="829" spans="1:3">
      <c r="A829" s="5"/>
      <c r="B829" s="5">
        <v>10</v>
      </c>
      <c r="C829" s="11">
        <v>218.53548387096799</v>
      </c>
    </row>
    <row r="830" spans="1:3">
      <c r="A830" s="5"/>
      <c r="B830" s="5">
        <v>11</v>
      </c>
      <c r="C830" s="11">
        <v>155.506666666667</v>
      </c>
    </row>
    <row r="831" spans="1:3">
      <c r="A831" s="5"/>
      <c r="B831" s="5">
        <v>12</v>
      </c>
      <c r="C831" s="11">
        <v>129.77419354838699</v>
      </c>
    </row>
    <row r="832" spans="1:3">
      <c r="A832" s="5"/>
      <c r="B832" s="5">
        <v>1</v>
      </c>
      <c r="C832" s="11">
        <v>70.255161290322604</v>
      </c>
    </row>
    <row r="833" spans="1:3">
      <c r="A833" s="5"/>
      <c r="B833" s="5">
        <v>2</v>
      </c>
      <c r="C833" s="11">
        <v>67.546896551724103</v>
      </c>
    </row>
    <row r="834" spans="1:3">
      <c r="A834" s="5"/>
      <c r="B834" s="5">
        <v>3</v>
      </c>
      <c r="C834" s="11">
        <v>81.928064516128998</v>
      </c>
    </row>
    <row r="835" spans="1:3">
      <c r="A835" s="5"/>
      <c r="B835" s="5">
        <v>4</v>
      </c>
      <c r="C835" s="11">
        <v>93.836666666666702</v>
      </c>
    </row>
    <row r="836" spans="1:3">
      <c r="A836" s="5"/>
      <c r="B836" s="5">
        <v>5</v>
      </c>
      <c r="C836" s="11">
        <v>137.50322580645201</v>
      </c>
    </row>
    <row r="837" spans="1:3">
      <c r="A837" s="5"/>
      <c r="B837" s="5"/>
      <c r="C837" s="11">
        <v>137.50322580645201</v>
      </c>
    </row>
    <row r="838" spans="1:3">
      <c r="A838" s="5"/>
      <c r="B838" s="5"/>
      <c r="C838" s="11">
        <v>137.50322580645201</v>
      </c>
    </row>
    <row r="839" spans="1:3">
      <c r="A839" s="5"/>
      <c r="B839" s="5">
        <v>6</v>
      </c>
      <c r="C839" s="11">
        <v>155.22399999999999</v>
      </c>
    </row>
    <row r="840" spans="1:3">
      <c r="A840" s="5"/>
      <c r="B840" s="5"/>
      <c r="C840" s="11">
        <v>155.22399999999999</v>
      </c>
    </row>
    <row r="841" spans="1:3">
      <c r="A841" s="5"/>
      <c r="B841" s="5"/>
      <c r="C841" s="11">
        <v>155.22399999999999</v>
      </c>
    </row>
    <row r="842" spans="1:3">
      <c r="A842" s="5">
        <v>2012</v>
      </c>
      <c r="B842" s="5">
        <v>7</v>
      </c>
      <c r="C842" s="11">
        <v>261.12193548387103</v>
      </c>
    </row>
    <row r="843" spans="1:3">
      <c r="A843" s="5"/>
      <c r="B843" s="5"/>
      <c r="C843" s="11">
        <v>261.12193548387103</v>
      </c>
    </row>
    <row r="844" spans="1:3">
      <c r="A844" s="5"/>
      <c r="B844" s="5"/>
      <c r="C844" s="11">
        <v>261.12193548387103</v>
      </c>
    </row>
    <row r="845" spans="1:3">
      <c r="A845" s="5"/>
      <c r="B845" s="5">
        <v>8</v>
      </c>
      <c r="C845" s="11">
        <v>231.274838709677</v>
      </c>
    </row>
    <row r="846" spans="1:3">
      <c r="A846" s="5"/>
      <c r="B846" s="5"/>
      <c r="C846" s="11">
        <v>231.274838709677</v>
      </c>
    </row>
    <row r="847" spans="1:3">
      <c r="A847" s="5"/>
      <c r="B847" s="5"/>
      <c r="C847" s="11">
        <v>231.274838709677</v>
      </c>
    </row>
    <row r="848" spans="1:3">
      <c r="A848" s="5"/>
      <c r="B848" s="5">
        <v>9</v>
      </c>
      <c r="C848" s="11">
        <v>236.35533333333299</v>
      </c>
    </row>
    <row r="849" spans="1:3">
      <c r="A849" s="5"/>
      <c r="B849" s="5">
        <v>10</v>
      </c>
      <c r="C849" s="11">
        <v>196.815483870968</v>
      </c>
    </row>
    <row r="850" spans="1:3">
      <c r="A850" s="5"/>
      <c r="B850" s="5">
        <v>11</v>
      </c>
      <c r="C850" s="11">
        <v>146.77533333333301</v>
      </c>
    </row>
    <row r="851" spans="1:3">
      <c r="A851" s="5"/>
      <c r="B851" s="5">
        <v>12</v>
      </c>
      <c r="C851" s="11">
        <v>110.478064516129</v>
      </c>
    </row>
    <row r="852" spans="1:3">
      <c r="A852" s="5"/>
      <c r="B852" s="5">
        <v>1</v>
      </c>
      <c r="C852" s="11">
        <v>76.884193548387103</v>
      </c>
    </row>
    <row r="853" spans="1:3">
      <c r="A853" s="5"/>
      <c r="B853" s="5">
        <v>2</v>
      </c>
      <c r="C853" s="11">
        <v>94.421428571428507</v>
      </c>
    </row>
    <row r="854" spans="1:3">
      <c r="A854" s="5"/>
      <c r="B854" s="5">
        <v>3</v>
      </c>
      <c r="C854" s="11">
        <v>112.51967741935501</v>
      </c>
    </row>
    <row r="855" spans="1:3">
      <c r="A855" s="5"/>
      <c r="B855" s="5">
        <v>4</v>
      </c>
      <c r="C855" s="11">
        <v>100.22199999999999</v>
      </c>
    </row>
    <row r="856" spans="1:3">
      <c r="A856" s="5"/>
      <c r="B856" s="5">
        <v>5</v>
      </c>
      <c r="C856" s="11">
        <v>173.89354838709701</v>
      </c>
    </row>
    <row r="857" spans="1:3">
      <c r="A857" s="5"/>
      <c r="B857" s="5"/>
      <c r="C857" s="11">
        <v>173.89354838709701</v>
      </c>
    </row>
    <row r="858" spans="1:3">
      <c r="A858" s="5"/>
      <c r="B858" s="5"/>
      <c r="C858" s="11">
        <v>173.89354838709701</v>
      </c>
    </row>
    <row r="859" spans="1:3">
      <c r="A859" s="5"/>
      <c r="B859" s="5">
        <v>6</v>
      </c>
      <c r="C859" s="11">
        <v>202.01333333333301</v>
      </c>
    </row>
    <row r="860" spans="1:3">
      <c r="A860" s="5"/>
      <c r="B860" s="5"/>
      <c r="C860" s="11">
        <v>202.01333333333301</v>
      </c>
    </row>
    <row r="861" spans="1:3">
      <c r="A861" s="5"/>
      <c r="B861" s="5"/>
      <c r="C861" s="11">
        <v>202.01333333333301</v>
      </c>
    </row>
    <row r="862" spans="1:3">
      <c r="A862" s="5">
        <v>2013</v>
      </c>
      <c r="B862" s="5">
        <v>7</v>
      </c>
      <c r="C862" s="11">
        <v>488.84838709677399</v>
      </c>
    </row>
    <row r="863" spans="1:3">
      <c r="A863" s="5"/>
      <c r="B863" s="5"/>
      <c r="C863" s="11">
        <v>488.84838709677399</v>
      </c>
    </row>
    <row r="864" spans="1:3">
      <c r="A864" s="5"/>
      <c r="B864" s="5"/>
      <c r="C864" s="11">
        <v>488.84838709677399</v>
      </c>
    </row>
    <row r="865" spans="1:3">
      <c r="A865" s="5"/>
      <c r="B865" s="5">
        <v>8</v>
      </c>
      <c r="C865" s="11">
        <v>390.64516129032302</v>
      </c>
    </row>
    <row r="866" spans="1:3">
      <c r="A866" s="5"/>
      <c r="B866" s="5"/>
      <c r="C866" s="11">
        <v>390.64516129032302</v>
      </c>
    </row>
    <row r="867" spans="1:3">
      <c r="A867" s="5"/>
      <c r="B867" s="5"/>
      <c r="C867" s="11">
        <v>390.64516129032302</v>
      </c>
    </row>
    <row r="868" spans="1:3">
      <c r="A868" s="5"/>
      <c r="B868" s="5">
        <v>9</v>
      </c>
      <c r="C868" s="11">
        <v>294.95</v>
      </c>
    </row>
    <row r="869" spans="1:3">
      <c r="A869" s="5"/>
      <c r="B869" s="5">
        <v>10</v>
      </c>
      <c r="C869" s="11">
        <v>139.55806451612901</v>
      </c>
    </row>
    <row r="870" spans="1:3">
      <c r="A870" s="5"/>
      <c r="B870" s="5">
        <v>11</v>
      </c>
      <c r="C870" s="11">
        <v>89.38</v>
      </c>
    </row>
    <row r="871" spans="1:3">
      <c r="A871" s="5"/>
      <c r="B871" s="5">
        <v>12</v>
      </c>
      <c r="C871" s="11">
        <v>70.089677419354899</v>
      </c>
    </row>
    <row r="872" spans="1:3">
      <c r="A872" s="5"/>
      <c r="B872" s="5">
        <v>1</v>
      </c>
      <c r="C872" s="11">
        <v>80.776774193548405</v>
      </c>
    </row>
    <row r="873" spans="1:3">
      <c r="A873" s="5"/>
      <c r="B873" s="5">
        <v>2</v>
      </c>
      <c r="C873" s="11">
        <v>82.861785714285702</v>
      </c>
    </row>
    <row r="874" spans="1:3">
      <c r="A874" s="5"/>
      <c r="B874" s="5">
        <v>3</v>
      </c>
      <c r="C874" s="11">
        <v>121.815483870968</v>
      </c>
    </row>
    <row r="875" spans="1:3">
      <c r="A875" s="5"/>
      <c r="B875" s="5">
        <v>4</v>
      </c>
      <c r="C875" s="11">
        <v>132.86799999999999</v>
      </c>
    </row>
    <row r="876" spans="1:3">
      <c r="A876" s="5"/>
      <c r="B876" s="5">
        <v>5</v>
      </c>
      <c r="C876" s="11">
        <v>145.80000000000001</v>
      </c>
    </row>
    <row r="877" spans="1:3">
      <c r="A877" s="5"/>
      <c r="B877" s="5"/>
      <c r="C877" s="11">
        <v>145.80000000000001</v>
      </c>
    </row>
    <row r="878" spans="1:3">
      <c r="A878" s="5"/>
      <c r="B878" s="5"/>
      <c r="C878" s="11">
        <v>145.80000000000001</v>
      </c>
    </row>
    <row r="879" spans="1:3">
      <c r="A879" s="5"/>
      <c r="B879" s="5">
        <v>6</v>
      </c>
      <c r="C879" s="11">
        <v>150.5</v>
      </c>
    </row>
    <row r="880" spans="1:3">
      <c r="A880" s="5"/>
      <c r="B880" s="5"/>
      <c r="C880" s="11">
        <v>150.5</v>
      </c>
    </row>
    <row r="881" spans="1:3">
      <c r="A881" s="5"/>
      <c r="B881" s="5"/>
      <c r="C881" s="11">
        <v>150.5</v>
      </c>
    </row>
    <row r="882" spans="1:3">
      <c r="A882" s="5">
        <v>2014</v>
      </c>
      <c r="B882" s="5">
        <v>7</v>
      </c>
      <c r="C882" s="11">
        <v>172.064516129032</v>
      </c>
    </row>
    <row r="883" spans="1:3">
      <c r="A883" s="5"/>
      <c r="B883" s="5"/>
      <c r="C883" s="11">
        <v>172.064516129032</v>
      </c>
    </row>
    <row r="884" spans="1:3">
      <c r="A884" s="5"/>
      <c r="B884" s="5"/>
      <c r="C884" s="11">
        <v>172.064516129032</v>
      </c>
    </row>
    <row r="885" spans="1:3">
      <c r="B885" s="5">
        <v>8</v>
      </c>
      <c r="C885" s="11">
        <v>177.56129032258099</v>
      </c>
    </row>
    <row r="886" spans="1:3">
      <c r="B886" s="5"/>
      <c r="C886" s="11">
        <v>177.56129032258099</v>
      </c>
    </row>
    <row r="887" spans="1:3">
      <c r="B887" s="5"/>
      <c r="C887" s="11">
        <v>177.56129032258099</v>
      </c>
    </row>
    <row r="888" spans="1:3">
      <c r="B888" s="5">
        <v>9</v>
      </c>
      <c r="C888" s="11">
        <v>263.40333333333302</v>
      </c>
    </row>
    <row r="889" spans="1:3">
      <c r="B889" s="5">
        <v>10</v>
      </c>
      <c r="C889" s="11">
        <v>267.89677419354803</v>
      </c>
    </row>
    <row r="890" spans="1:3">
      <c r="B890" s="5">
        <v>11</v>
      </c>
      <c r="C890" s="11">
        <v>232.16</v>
      </c>
    </row>
    <row r="891" spans="1:3">
      <c r="B891" s="5">
        <v>12</v>
      </c>
      <c r="C891" s="11">
        <v>131.09032258064499</v>
      </c>
    </row>
    <row r="892" spans="1:3">
      <c r="B892" s="5">
        <v>1</v>
      </c>
      <c r="C892" s="11">
        <v>85.443225806451593</v>
      </c>
    </row>
    <row r="893" spans="1:3">
      <c r="B893" s="5">
        <v>2</v>
      </c>
      <c r="C893" s="11">
        <v>79.484642857142902</v>
      </c>
    </row>
    <row r="894" spans="1:3">
      <c r="B894" s="5">
        <v>3</v>
      </c>
      <c r="C894" s="11">
        <v>62.120645161290298</v>
      </c>
    </row>
    <row r="895" spans="1:3">
      <c r="B895" s="5">
        <v>4</v>
      </c>
      <c r="C895" s="11">
        <v>95.615333333333297</v>
      </c>
    </row>
    <row r="896" spans="1:3">
      <c r="B896" s="5">
        <v>5</v>
      </c>
      <c r="C896" s="11">
        <v>131.66451612903199</v>
      </c>
    </row>
    <row r="897" spans="1:3">
      <c r="B897" s="5"/>
      <c r="C897" s="11">
        <v>131.66451612903199</v>
      </c>
    </row>
    <row r="898" spans="1:3">
      <c r="B898" s="5"/>
      <c r="C898" s="11">
        <v>131.66451612903199</v>
      </c>
    </row>
    <row r="899" spans="1:3">
      <c r="B899" s="5">
        <v>6</v>
      </c>
      <c r="C899" s="11">
        <v>160.90033333333301</v>
      </c>
    </row>
    <row r="900" spans="1:3">
      <c r="B900" s="5"/>
      <c r="C900" s="11">
        <v>160.90033333333301</v>
      </c>
    </row>
    <row r="901" spans="1:3">
      <c r="B901" s="5"/>
      <c r="C901" s="11">
        <v>160.90033333333301</v>
      </c>
    </row>
    <row r="902" spans="1:3">
      <c r="A902" s="5">
        <v>2015</v>
      </c>
      <c r="B902" s="5">
        <v>7</v>
      </c>
      <c r="C902" s="11">
        <v>196.77096774193501</v>
      </c>
    </row>
    <row r="903" spans="1:3">
      <c r="A903" s="5"/>
      <c r="B903" s="5"/>
      <c r="C903" s="11">
        <v>196.77096774193501</v>
      </c>
    </row>
    <row r="904" spans="1:3">
      <c r="A904" s="5"/>
      <c r="B904" s="5"/>
      <c r="C904" s="11">
        <v>196.77096774193501</v>
      </c>
    </row>
    <row r="905" spans="1:3">
      <c r="B905" s="5">
        <v>8</v>
      </c>
      <c r="C905" s="11">
        <v>127.583870967742</v>
      </c>
    </row>
    <row r="906" spans="1:3">
      <c r="B906" s="5"/>
      <c r="C906" s="11">
        <v>127.583870967742</v>
      </c>
    </row>
    <row r="907" spans="1:3">
      <c r="B907" s="5"/>
      <c r="C907" s="11">
        <v>127.583870967742</v>
      </c>
    </row>
    <row r="908" spans="1:3">
      <c r="B908" s="5">
        <v>9</v>
      </c>
      <c r="C908" s="11">
        <v>98.451839080459806</v>
      </c>
    </row>
    <row r="909" spans="1:3">
      <c r="B909" s="5">
        <v>10</v>
      </c>
      <c r="C909" s="11">
        <v>96.116129032258101</v>
      </c>
    </row>
    <row r="910" spans="1:3">
      <c r="B910" s="5">
        <v>11</v>
      </c>
      <c r="C910" s="11">
        <v>81.133333333333297</v>
      </c>
    </row>
    <row r="911" spans="1:3">
      <c r="B911" s="5">
        <v>12</v>
      </c>
      <c r="C911" s="11">
        <v>87.7870967741935</v>
      </c>
    </row>
    <row r="912" spans="1:3">
      <c r="B912" s="5">
        <v>1</v>
      </c>
      <c r="C912" s="11">
        <v>45.459225806451599</v>
      </c>
    </row>
    <row r="913" spans="1:3">
      <c r="B913" s="5">
        <v>2</v>
      </c>
      <c r="C913" s="11">
        <v>34.490657635467997</v>
      </c>
    </row>
    <row r="914" spans="1:3">
      <c r="B914" s="5">
        <v>3</v>
      </c>
      <c r="C914" s="11">
        <v>47.611612903225797</v>
      </c>
    </row>
    <row r="915" spans="1:3">
      <c r="B915" s="5">
        <v>4</v>
      </c>
      <c r="C915" s="11">
        <v>86.754400000000004</v>
      </c>
    </row>
    <row r="916" spans="1:3">
      <c r="B916" s="5">
        <v>5</v>
      </c>
      <c r="C916" s="11">
        <v>98.8504516129032</v>
      </c>
    </row>
    <row r="917" spans="1:3">
      <c r="B917" s="5"/>
      <c r="C917" s="11">
        <v>98.8504516129032</v>
      </c>
    </row>
    <row r="918" spans="1:3">
      <c r="B918" s="5"/>
      <c r="C918" s="11">
        <v>98.8504516129032</v>
      </c>
    </row>
    <row r="919" spans="1:3">
      <c r="B919" s="5">
        <v>6</v>
      </c>
      <c r="C919" s="11">
        <v>156.99246666666701</v>
      </c>
    </row>
    <row r="920" spans="1:3">
      <c r="A920" s="4"/>
      <c r="B920" s="4"/>
      <c r="C920" s="11">
        <v>156.99246666666701</v>
      </c>
    </row>
    <row r="921" spans="1:3">
      <c r="A921" s="4"/>
      <c r="B921" s="4"/>
      <c r="C921" s="11">
        <v>156.99246666666701</v>
      </c>
    </row>
    <row r="922" spans="1:3">
      <c r="A922" s="4"/>
      <c r="B922" s="4"/>
    </row>
    <row r="923" spans="1:3">
      <c r="A923" s="4"/>
      <c r="B923" s="4"/>
    </row>
    <row r="924" spans="1:3">
      <c r="A924" s="4"/>
      <c r="B924" s="4"/>
    </row>
    <row r="925" spans="1:3">
      <c r="A925" s="4"/>
      <c r="B925" s="4"/>
    </row>
    <row r="926" spans="1:3">
      <c r="A926" s="4"/>
      <c r="B926" s="4"/>
      <c r="C926" s="13"/>
    </row>
    <row r="927" spans="1:3">
      <c r="A927" s="4"/>
      <c r="B927" s="4"/>
      <c r="C927" s="13"/>
    </row>
    <row r="928" spans="1:3">
      <c r="A928" s="4"/>
      <c r="B928" s="4"/>
      <c r="C928" s="13"/>
    </row>
    <row r="929" spans="1:3">
      <c r="A929" s="4"/>
      <c r="B929" s="4"/>
      <c r="C929" s="13"/>
    </row>
    <row r="930" spans="1:3">
      <c r="A930" s="4"/>
      <c r="B930" s="4"/>
      <c r="C930" s="13"/>
    </row>
    <row r="931" spans="1:3">
      <c r="A931" s="4"/>
      <c r="B931" s="4"/>
      <c r="C931" s="13"/>
    </row>
    <row r="932" spans="1:3">
      <c r="A932" s="4"/>
      <c r="B932" s="4"/>
      <c r="C932" s="13"/>
    </row>
    <row r="933" spans="1:3">
      <c r="A933" s="4"/>
      <c r="B933" s="4"/>
      <c r="C933" s="13"/>
    </row>
    <row r="934" spans="1:3">
      <c r="A934" s="4"/>
      <c r="B934" s="4"/>
      <c r="C934" s="13"/>
    </row>
    <row r="935" spans="1:3">
      <c r="A935" s="4"/>
      <c r="B935" s="4"/>
      <c r="C935" s="13"/>
    </row>
    <row r="936" spans="1:3">
      <c r="A936" s="4"/>
      <c r="B936" s="4"/>
      <c r="C936" s="13"/>
    </row>
    <row r="937" spans="1:3">
      <c r="A937" s="4"/>
      <c r="B937" s="4"/>
      <c r="C937" s="13"/>
    </row>
    <row r="938" spans="1:3">
      <c r="A938" s="4"/>
      <c r="B938" s="4"/>
      <c r="C938" s="13"/>
    </row>
    <row r="939" spans="1:3">
      <c r="A939" s="4"/>
      <c r="B939" s="4"/>
      <c r="C939" s="13"/>
    </row>
    <row r="940" spans="1:3">
      <c r="A940" s="4"/>
      <c r="B940" s="4"/>
      <c r="C940" s="13"/>
    </row>
    <row r="941" spans="1:3">
      <c r="A941" s="4"/>
      <c r="B941" s="4"/>
      <c r="C941" s="13"/>
    </row>
    <row r="942" spans="1:3">
      <c r="A942" s="4"/>
      <c r="B942" s="4"/>
      <c r="C942" s="13"/>
    </row>
    <row r="943" spans="1:3">
      <c r="A943" s="4"/>
      <c r="B943" s="4"/>
      <c r="C943" s="13"/>
    </row>
    <row r="944" spans="1:3">
      <c r="A944" s="4"/>
      <c r="B944" s="4"/>
      <c r="C944" s="13"/>
    </row>
    <row r="945" spans="1:3">
      <c r="A945" s="4"/>
      <c r="B945" s="4"/>
      <c r="C945" s="13"/>
    </row>
    <row r="946" spans="1:3">
      <c r="A946" s="4"/>
      <c r="B946" s="4"/>
      <c r="C946" s="13"/>
    </row>
    <row r="947" spans="1:3">
      <c r="A947" s="4"/>
      <c r="B947" s="4"/>
      <c r="C947" s="13"/>
    </row>
    <row r="948" spans="1:3">
      <c r="A948" s="4"/>
      <c r="B948" s="4"/>
      <c r="C948" s="13"/>
    </row>
    <row r="949" spans="1:3">
      <c r="A949" s="4"/>
      <c r="B949" s="4"/>
      <c r="C949" s="13"/>
    </row>
    <row r="950" spans="1:3">
      <c r="A950" s="4"/>
      <c r="B950" s="4"/>
      <c r="C950" s="13"/>
    </row>
    <row r="951" spans="1:3">
      <c r="A951" s="4"/>
      <c r="B951" s="4"/>
      <c r="C951" s="13"/>
    </row>
    <row r="952" spans="1:3">
      <c r="A952" s="4"/>
      <c r="B952" s="4"/>
      <c r="C952" s="13"/>
    </row>
    <row r="953" spans="1:3">
      <c r="A953" s="4"/>
      <c r="B953" s="4"/>
      <c r="C953" s="13"/>
    </row>
    <row r="954" spans="1:3">
      <c r="A954" s="4"/>
      <c r="B954" s="4"/>
      <c r="C954" s="13"/>
    </row>
    <row r="955" spans="1:3">
      <c r="A955" s="4"/>
      <c r="B955" s="4"/>
      <c r="C955" s="13"/>
    </row>
    <row r="956" spans="1:3">
      <c r="A956" s="4"/>
      <c r="B956" s="4"/>
      <c r="C956" s="13"/>
    </row>
    <row r="957" spans="1:3">
      <c r="A957" s="4"/>
      <c r="B957" s="4"/>
      <c r="C957" s="13"/>
    </row>
    <row r="958" spans="1:3">
      <c r="A958" s="4"/>
      <c r="B958" s="4"/>
      <c r="C958" s="13"/>
    </row>
    <row r="959" spans="1:3">
      <c r="A959" s="4"/>
      <c r="B959" s="4"/>
      <c r="C959" s="13"/>
    </row>
    <row r="960" spans="1:3">
      <c r="A960" s="4"/>
      <c r="B960" s="4"/>
      <c r="C960" s="13"/>
    </row>
    <row r="961" spans="1:3">
      <c r="A961" s="4"/>
      <c r="B961" s="4"/>
      <c r="C961" s="13"/>
    </row>
    <row r="962" spans="1:3">
      <c r="A962" s="4"/>
      <c r="B962" s="4"/>
      <c r="C962" s="13"/>
    </row>
    <row r="963" spans="1:3">
      <c r="A963" s="4"/>
      <c r="B963" s="4"/>
      <c r="C963" s="13"/>
    </row>
    <row r="964" spans="1:3">
      <c r="A964" s="4"/>
      <c r="B964" s="4"/>
      <c r="C964" s="13"/>
    </row>
    <row r="965" spans="1:3">
      <c r="A965" s="4"/>
      <c r="B965" s="4"/>
      <c r="C965" s="13"/>
    </row>
    <row r="966" spans="1:3">
      <c r="A966" s="4"/>
      <c r="B966" s="4"/>
      <c r="C966" s="13"/>
    </row>
    <row r="967" spans="1:3">
      <c r="A967" s="4"/>
      <c r="B967" s="4"/>
      <c r="C967" s="13"/>
    </row>
    <row r="968" spans="1:3">
      <c r="A968" s="4"/>
      <c r="B968" s="4"/>
      <c r="C968" s="13"/>
    </row>
    <row r="969" spans="1:3">
      <c r="A969" s="4"/>
      <c r="B969" s="4"/>
      <c r="C969" s="13"/>
    </row>
    <row r="970" spans="1:3">
      <c r="A970" s="4"/>
      <c r="B970" s="4"/>
      <c r="C970" s="13"/>
    </row>
    <row r="971" spans="1:3">
      <c r="A971" s="4"/>
      <c r="B971" s="4"/>
      <c r="C971" s="13"/>
    </row>
    <row r="972" spans="1:3">
      <c r="A972" s="4"/>
      <c r="B972" s="4"/>
      <c r="C972" s="13"/>
    </row>
    <row r="973" spans="1:3">
      <c r="A973" s="4"/>
      <c r="B973" s="4"/>
      <c r="C973" s="13"/>
    </row>
    <row r="974" spans="1:3">
      <c r="A974" s="4"/>
      <c r="B974" s="4"/>
      <c r="C974" s="13"/>
    </row>
    <row r="975" spans="1:3">
      <c r="A975" s="4"/>
      <c r="B975" s="4"/>
      <c r="C975" s="13"/>
    </row>
    <row r="976" spans="1:3">
      <c r="A976" s="4"/>
      <c r="B976" s="4"/>
      <c r="C976" s="13"/>
    </row>
    <row r="977" spans="1:3">
      <c r="A977" s="4"/>
      <c r="B977" s="4"/>
      <c r="C977" s="13"/>
    </row>
    <row r="978" spans="1:3">
      <c r="A978" s="4"/>
      <c r="B978" s="4"/>
      <c r="C978" s="13"/>
    </row>
    <row r="979" spans="1:3">
      <c r="A979" s="4"/>
      <c r="B979" s="4"/>
      <c r="C979" s="13"/>
    </row>
    <row r="980" spans="1:3">
      <c r="A980" s="4"/>
      <c r="B980" s="4"/>
      <c r="C980" s="13"/>
    </row>
    <row r="981" spans="1:3">
      <c r="A981" s="4"/>
      <c r="B981" s="4"/>
      <c r="C981" s="13"/>
    </row>
    <row r="982" spans="1:3">
      <c r="A982" s="4"/>
      <c r="B982" s="4"/>
      <c r="C982" s="13"/>
    </row>
    <row r="983" spans="1:3">
      <c r="A983" s="4"/>
      <c r="B983" s="4"/>
      <c r="C983" s="13"/>
    </row>
    <row r="984" spans="1:3">
      <c r="A984" s="4"/>
      <c r="B984" s="4"/>
      <c r="C984" s="13"/>
    </row>
    <row r="985" spans="1:3">
      <c r="A985" s="4"/>
      <c r="B985" s="4"/>
      <c r="C985" s="13"/>
    </row>
    <row r="986" spans="1:3">
      <c r="A986" s="4"/>
      <c r="B986" s="4"/>
      <c r="C986" s="13"/>
    </row>
    <row r="987" spans="1:3">
      <c r="A987" s="4"/>
      <c r="B987" s="4"/>
      <c r="C987" s="13"/>
    </row>
    <row r="988" spans="1:3">
      <c r="A988" s="4"/>
      <c r="B988" s="4"/>
      <c r="C988" s="13"/>
    </row>
    <row r="989" spans="1:3">
      <c r="A989" s="4"/>
      <c r="B989" s="4"/>
      <c r="C989" s="13"/>
    </row>
    <row r="990" spans="1:3">
      <c r="A990" s="4"/>
      <c r="B990" s="4"/>
      <c r="C990" s="13"/>
    </row>
    <row r="991" spans="1:3">
      <c r="A991" s="4"/>
      <c r="B991" s="4"/>
      <c r="C991" s="13"/>
    </row>
    <row r="992" spans="1:3">
      <c r="A992" s="4"/>
      <c r="B992" s="4"/>
      <c r="C992" s="13"/>
    </row>
    <row r="993" spans="1:3">
      <c r="A993" s="4"/>
      <c r="B993" s="4"/>
      <c r="C993" s="13"/>
    </row>
    <row r="994" spans="1:3">
      <c r="A994" s="4"/>
      <c r="B994" s="4"/>
      <c r="C994" s="13"/>
    </row>
    <row r="995" spans="1:3">
      <c r="A995" s="4"/>
      <c r="B995" s="4"/>
      <c r="C995" s="13"/>
    </row>
    <row r="996" spans="1:3">
      <c r="A996" s="4"/>
      <c r="B996" s="4"/>
      <c r="C996" s="13"/>
    </row>
    <row r="997" spans="1:3">
      <c r="A997" s="4"/>
      <c r="B997" s="4"/>
      <c r="C997" s="13"/>
    </row>
    <row r="998" spans="1:3">
      <c r="A998" s="4"/>
      <c r="B998" s="4"/>
      <c r="C998" s="13"/>
    </row>
    <row r="999" spans="1:3">
      <c r="A999" s="4"/>
      <c r="B999" s="4"/>
      <c r="C999" s="13"/>
    </row>
    <row r="1000" spans="1:3">
      <c r="A1000" s="4"/>
      <c r="B1000" s="4"/>
      <c r="C1000" s="13"/>
    </row>
    <row r="1001" spans="1:3">
      <c r="A1001" s="4"/>
      <c r="B1001" s="4"/>
      <c r="C1001" s="13"/>
    </row>
    <row r="1002" spans="1:3">
      <c r="A1002" s="4"/>
      <c r="B1002" s="4"/>
      <c r="C1002" s="13"/>
    </row>
    <row r="1003" spans="1:3">
      <c r="A1003" s="4"/>
      <c r="B1003" s="4"/>
      <c r="C1003" s="13"/>
    </row>
    <row r="1004" spans="1:3">
      <c r="A1004" s="4"/>
      <c r="B1004" s="4"/>
      <c r="C1004" s="13"/>
    </row>
    <row r="1005" spans="1:3">
      <c r="A1005" s="4"/>
      <c r="B1005" s="4"/>
      <c r="C1005" s="13"/>
    </row>
    <row r="1006" spans="1:3">
      <c r="A1006" s="4"/>
      <c r="B1006" s="4"/>
      <c r="C1006" s="13"/>
    </row>
    <row r="1007" spans="1:3">
      <c r="A1007" s="4"/>
      <c r="B1007" s="4"/>
      <c r="C1007" s="13"/>
    </row>
    <row r="1008" spans="1:3">
      <c r="A1008" s="4"/>
      <c r="B1008" s="4"/>
      <c r="C1008" s="13"/>
    </row>
    <row r="1009" spans="1:3">
      <c r="A1009" s="4"/>
      <c r="B1009" s="4"/>
      <c r="C1009" s="13"/>
    </row>
    <row r="1010" spans="1:3">
      <c r="A1010" s="4"/>
      <c r="B1010" s="4"/>
      <c r="C1010" s="13"/>
    </row>
    <row r="1011" spans="1:3">
      <c r="A1011" s="4"/>
      <c r="B1011" s="4"/>
      <c r="C1011" s="13"/>
    </row>
    <row r="1012" spans="1:3">
      <c r="A1012" s="4"/>
      <c r="B1012" s="4"/>
      <c r="C1012" s="13"/>
    </row>
    <row r="1013" spans="1:3">
      <c r="A1013" s="4"/>
      <c r="B1013" s="4"/>
      <c r="C1013" s="13"/>
    </row>
    <row r="1014" spans="1:3">
      <c r="A1014" s="4"/>
      <c r="B1014" s="4"/>
      <c r="C1014" s="13"/>
    </row>
    <row r="1015" spans="1:3">
      <c r="A1015" s="4"/>
      <c r="B1015" s="4"/>
      <c r="C1015" s="13"/>
    </row>
    <row r="1016" spans="1:3">
      <c r="A1016" s="4"/>
      <c r="B1016" s="4"/>
    </row>
    <row r="1017" spans="1:3">
      <c r="A1017" s="4"/>
      <c r="B1017" s="4"/>
    </row>
    <row r="1018" spans="1:3">
      <c r="A1018" s="4"/>
      <c r="B1018" s="4"/>
    </row>
    <row r="1019" spans="1:3">
      <c r="A1019" s="4"/>
      <c r="B1019" s="4"/>
    </row>
  </sheetData>
  <phoneticPr fontId="7" type="noConversion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1019"/>
  <sheetViews>
    <sheetView topLeftCell="A22" workbookViewId="0">
      <selection activeCell="Y55" sqref="Y55"/>
    </sheetView>
  </sheetViews>
  <sheetFormatPr baseColWidth="10" defaultColWidth="9" defaultRowHeight="15"/>
  <sheetData>
    <row r="1" spans="1:25" ht="16">
      <c r="A1" s="2" t="s">
        <v>17</v>
      </c>
      <c r="B1" s="3" t="s">
        <v>18</v>
      </c>
      <c r="C1" s="2" t="s">
        <v>114</v>
      </c>
      <c r="E1" s="3" t="s">
        <v>18</v>
      </c>
      <c r="F1" s="4" t="s">
        <v>5</v>
      </c>
      <c r="G1" s="4" t="s">
        <v>6</v>
      </c>
      <c r="H1" s="4" t="s">
        <v>7</v>
      </c>
      <c r="I1" s="8" t="s">
        <v>8</v>
      </c>
      <c r="J1" s="8" t="s">
        <v>9</v>
      </c>
      <c r="K1" s="8" t="s">
        <v>10</v>
      </c>
      <c r="L1" s="4">
        <v>9</v>
      </c>
      <c r="M1" s="4">
        <v>10</v>
      </c>
      <c r="N1" s="4">
        <v>11</v>
      </c>
      <c r="O1" s="4">
        <v>12</v>
      </c>
      <c r="P1" s="4">
        <v>1</v>
      </c>
      <c r="Q1" s="4">
        <v>2</v>
      </c>
      <c r="R1" s="4">
        <v>3</v>
      </c>
      <c r="S1" s="4">
        <v>4</v>
      </c>
      <c r="T1" s="8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16</v>
      </c>
    </row>
    <row r="2" spans="1:25">
      <c r="A2" s="5">
        <v>1970</v>
      </c>
      <c r="B2" s="5">
        <v>7</v>
      </c>
      <c r="C2" s="6">
        <v>153</v>
      </c>
      <c r="E2" s="15" t="s">
        <v>46</v>
      </c>
      <c r="F2" s="5">
        <v>153</v>
      </c>
      <c r="G2" s="5">
        <v>153</v>
      </c>
      <c r="H2" s="5">
        <v>153</v>
      </c>
      <c r="I2" s="5">
        <v>476</v>
      </c>
      <c r="J2" s="5">
        <v>476</v>
      </c>
      <c r="K2" s="5">
        <v>476</v>
      </c>
      <c r="L2" s="5">
        <v>220</v>
      </c>
      <c r="M2" s="5">
        <v>147</v>
      </c>
      <c r="N2" s="5">
        <v>78</v>
      </c>
      <c r="O2" s="5">
        <v>56</v>
      </c>
      <c r="P2" s="5">
        <v>39</v>
      </c>
      <c r="Q2" s="5">
        <v>41</v>
      </c>
      <c r="R2" s="5">
        <v>46</v>
      </c>
      <c r="S2" s="5">
        <v>62</v>
      </c>
      <c r="T2" s="5">
        <v>73</v>
      </c>
      <c r="U2" s="5">
        <v>73</v>
      </c>
      <c r="V2" s="5">
        <v>73</v>
      </c>
      <c r="W2" s="5">
        <v>70</v>
      </c>
      <c r="X2" s="5">
        <v>70</v>
      </c>
      <c r="Y2" s="5">
        <v>70</v>
      </c>
    </row>
    <row r="3" spans="1:25">
      <c r="A3" s="5"/>
      <c r="B3" s="5"/>
      <c r="C3" s="6">
        <v>153</v>
      </c>
      <c r="E3" s="15" t="s">
        <v>47</v>
      </c>
      <c r="F3" s="5">
        <v>215</v>
      </c>
      <c r="G3" s="5">
        <v>215</v>
      </c>
      <c r="H3" s="5">
        <v>215</v>
      </c>
      <c r="I3" s="5">
        <v>216</v>
      </c>
      <c r="J3" s="5">
        <v>216</v>
      </c>
      <c r="K3" s="5">
        <v>216</v>
      </c>
      <c r="L3" s="5">
        <v>525</v>
      </c>
      <c r="M3" s="5">
        <v>259</v>
      </c>
      <c r="N3" s="5">
        <v>113</v>
      </c>
      <c r="O3" s="5">
        <v>69</v>
      </c>
      <c r="P3" s="5">
        <v>53</v>
      </c>
      <c r="Q3" s="5">
        <v>49</v>
      </c>
      <c r="R3" s="5">
        <v>59</v>
      </c>
      <c r="S3" s="5">
        <v>110</v>
      </c>
      <c r="T3" s="5">
        <v>179</v>
      </c>
      <c r="U3" s="5">
        <v>179</v>
      </c>
      <c r="V3" s="5">
        <v>179</v>
      </c>
      <c r="W3" s="5">
        <v>181</v>
      </c>
      <c r="X3" s="5">
        <v>181</v>
      </c>
      <c r="Y3" s="5">
        <v>181</v>
      </c>
    </row>
    <row r="4" spans="1:25">
      <c r="A4" s="5"/>
      <c r="B4" s="5"/>
      <c r="C4" s="6">
        <v>153</v>
      </c>
      <c r="E4" s="15" t="s">
        <v>48</v>
      </c>
      <c r="F4" s="5">
        <v>313</v>
      </c>
      <c r="G4" s="5">
        <v>313</v>
      </c>
      <c r="H4" s="5">
        <v>313</v>
      </c>
      <c r="I4" s="5">
        <v>277</v>
      </c>
      <c r="J4" s="5">
        <v>277</v>
      </c>
      <c r="K4" s="5">
        <v>277</v>
      </c>
      <c r="L4" s="5">
        <v>195</v>
      </c>
      <c r="M4" s="5">
        <v>112</v>
      </c>
      <c r="N4" s="5">
        <v>61</v>
      </c>
      <c r="O4" s="5">
        <v>48</v>
      </c>
      <c r="P4" s="5">
        <v>36</v>
      </c>
      <c r="Q4" s="5">
        <v>42</v>
      </c>
      <c r="R4" s="5">
        <v>37</v>
      </c>
      <c r="S4" s="5">
        <v>49</v>
      </c>
      <c r="T4" s="5">
        <v>91</v>
      </c>
      <c r="U4" s="5">
        <v>91</v>
      </c>
      <c r="V4" s="5">
        <v>91</v>
      </c>
      <c r="W4" s="5">
        <v>126</v>
      </c>
      <c r="X4" s="5">
        <v>126</v>
      </c>
      <c r="Y4" s="5">
        <v>126</v>
      </c>
    </row>
    <row r="5" spans="1:25">
      <c r="A5" s="5"/>
      <c r="B5" s="5">
        <v>8</v>
      </c>
      <c r="C5" s="6">
        <v>476</v>
      </c>
      <c r="E5" s="15" t="s">
        <v>49</v>
      </c>
      <c r="F5" s="5">
        <v>159</v>
      </c>
      <c r="G5" s="5">
        <v>159</v>
      </c>
      <c r="H5" s="5">
        <v>159</v>
      </c>
      <c r="I5" s="5">
        <v>198</v>
      </c>
      <c r="J5" s="5">
        <v>198</v>
      </c>
      <c r="K5" s="5">
        <v>198</v>
      </c>
      <c r="L5" s="5">
        <v>185</v>
      </c>
      <c r="M5" s="5">
        <v>158</v>
      </c>
      <c r="N5" s="5">
        <v>73</v>
      </c>
      <c r="O5" s="5">
        <v>46</v>
      </c>
      <c r="P5" s="5">
        <v>34</v>
      </c>
      <c r="Q5" s="5">
        <v>35</v>
      </c>
      <c r="R5" s="5">
        <v>45</v>
      </c>
      <c r="S5" s="5">
        <v>105</v>
      </c>
      <c r="T5" s="5">
        <v>141</v>
      </c>
      <c r="U5" s="5">
        <v>141</v>
      </c>
      <c r="V5" s="5">
        <v>141</v>
      </c>
      <c r="W5" s="5">
        <v>100</v>
      </c>
      <c r="X5" s="5">
        <v>100</v>
      </c>
      <c r="Y5" s="5">
        <v>100</v>
      </c>
    </row>
    <row r="6" spans="1:25">
      <c r="A6" s="5"/>
      <c r="B6" s="5"/>
      <c r="C6" s="6">
        <v>476</v>
      </c>
      <c r="E6" s="15" t="s">
        <v>50</v>
      </c>
      <c r="F6" s="5">
        <v>224</v>
      </c>
      <c r="G6" s="5">
        <v>224</v>
      </c>
      <c r="H6" s="5">
        <v>224</v>
      </c>
      <c r="I6" s="5">
        <v>287</v>
      </c>
      <c r="J6" s="5">
        <v>287</v>
      </c>
      <c r="K6" s="5">
        <v>287</v>
      </c>
      <c r="L6" s="5">
        <v>276</v>
      </c>
      <c r="M6" s="5">
        <v>155</v>
      </c>
      <c r="N6" s="5">
        <v>68</v>
      </c>
      <c r="O6" s="5">
        <v>49</v>
      </c>
      <c r="P6" s="5">
        <v>33</v>
      </c>
      <c r="Q6" s="5">
        <v>35</v>
      </c>
      <c r="R6" s="5">
        <v>39</v>
      </c>
      <c r="S6" s="5">
        <v>53</v>
      </c>
      <c r="T6" s="5">
        <v>106</v>
      </c>
      <c r="U6" s="5">
        <v>106</v>
      </c>
      <c r="V6" s="5">
        <v>106</v>
      </c>
      <c r="W6" s="5">
        <v>205</v>
      </c>
      <c r="X6" s="5">
        <v>205</v>
      </c>
      <c r="Y6" s="5">
        <v>205</v>
      </c>
    </row>
    <row r="7" spans="1:25">
      <c r="A7" s="5"/>
      <c r="B7" s="5"/>
      <c r="C7" s="6">
        <v>476</v>
      </c>
      <c r="E7" s="15" t="s">
        <v>51</v>
      </c>
      <c r="F7" s="5">
        <v>334</v>
      </c>
      <c r="G7" s="5">
        <v>334</v>
      </c>
      <c r="H7" s="5">
        <v>334</v>
      </c>
      <c r="I7" s="5">
        <v>191</v>
      </c>
      <c r="J7" s="5">
        <v>191</v>
      </c>
      <c r="K7" s="5">
        <v>191</v>
      </c>
      <c r="L7" s="5">
        <v>265</v>
      </c>
      <c r="M7" s="5">
        <v>242</v>
      </c>
      <c r="N7" s="5">
        <v>102</v>
      </c>
      <c r="O7" s="5">
        <v>50</v>
      </c>
      <c r="P7" s="5">
        <v>40</v>
      </c>
      <c r="Q7" s="5">
        <v>44</v>
      </c>
      <c r="R7" s="5">
        <v>61</v>
      </c>
      <c r="S7" s="5">
        <v>96</v>
      </c>
      <c r="T7" s="5">
        <v>93</v>
      </c>
      <c r="U7" s="5">
        <v>93</v>
      </c>
      <c r="V7" s="5">
        <v>93</v>
      </c>
      <c r="W7" s="5">
        <v>186</v>
      </c>
      <c r="X7" s="5">
        <v>186</v>
      </c>
      <c r="Y7" s="5">
        <v>186</v>
      </c>
    </row>
    <row r="8" spans="1:25">
      <c r="A8" s="5"/>
      <c r="B8" s="5">
        <v>9</v>
      </c>
      <c r="C8" s="6">
        <v>220</v>
      </c>
      <c r="E8" s="15" t="s">
        <v>52</v>
      </c>
      <c r="F8" s="5">
        <v>263</v>
      </c>
      <c r="G8" s="5">
        <v>263</v>
      </c>
      <c r="H8" s="5">
        <v>263</v>
      </c>
      <c r="I8" s="5">
        <v>458</v>
      </c>
      <c r="J8" s="5">
        <v>458</v>
      </c>
      <c r="K8" s="5">
        <v>458</v>
      </c>
      <c r="L8" s="5">
        <v>318</v>
      </c>
      <c r="M8" s="5">
        <v>185</v>
      </c>
      <c r="N8" s="5">
        <v>82</v>
      </c>
      <c r="O8" s="5">
        <v>54</v>
      </c>
      <c r="P8" s="5">
        <v>41</v>
      </c>
      <c r="Q8" s="5">
        <v>46</v>
      </c>
      <c r="R8" s="5">
        <v>51</v>
      </c>
      <c r="S8" s="5">
        <v>78</v>
      </c>
      <c r="T8" s="5">
        <v>120</v>
      </c>
      <c r="U8" s="5">
        <v>120</v>
      </c>
      <c r="V8" s="5">
        <v>120</v>
      </c>
      <c r="W8" s="5">
        <v>160</v>
      </c>
      <c r="X8" s="5">
        <v>160</v>
      </c>
      <c r="Y8" s="5">
        <v>160</v>
      </c>
    </row>
    <row r="9" spans="1:25">
      <c r="A9" s="5"/>
      <c r="B9" s="5">
        <v>10</v>
      </c>
      <c r="C9" s="6">
        <v>147</v>
      </c>
      <c r="E9" s="15" t="s">
        <v>53</v>
      </c>
      <c r="F9" s="5">
        <v>202</v>
      </c>
      <c r="G9" s="5">
        <v>202</v>
      </c>
      <c r="H9" s="5">
        <v>202</v>
      </c>
      <c r="I9" s="5">
        <v>284</v>
      </c>
      <c r="J9" s="5">
        <v>284</v>
      </c>
      <c r="K9" s="5">
        <v>284</v>
      </c>
      <c r="L9" s="5">
        <v>203</v>
      </c>
      <c r="M9" s="5">
        <v>127</v>
      </c>
      <c r="N9" s="5">
        <v>67</v>
      </c>
      <c r="O9" s="5">
        <v>55</v>
      </c>
      <c r="P9" s="5">
        <v>34</v>
      </c>
      <c r="Q9" s="5">
        <v>34</v>
      </c>
      <c r="R9" s="5">
        <v>47</v>
      </c>
      <c r="S9" s="5">
        <v>103</v>
      </c>
      <c r="T9" s="5">
        <v>74</v>
      </c>
      <c r="U9" s="5">
        <v>74</v>
      </c>
      <c r="V9" s="5">
        <v>74</v>
      </c>
      <c r="W9" s="5">
        <v>120</v>
      </c>
      <c r="X9" s="5">
        <v>120</v>
      </c>
      <c r="Y9" s="5">
        <v>120</v>
      </c>
    </row>
    <row r="10" spans="1:25">
      <c r="A10" s="5"/>
      <c r="B10" s="5">
        <v>11</v>
      </c>
      <c r="C10" s="6">
        <v>78</v>
      </c>
      <c r="E10" s="15" t="s">
        <v>54</v>
      </c>
      <c r="F10" s="5">
        <v>251</v>
      </c>
      <c r="G10" s="5">
        <v>251</v>
      </c>
      <c r="H10" s="5">
        <v>251</v>
      </c>
      <c r="I10" s="5">
        <v>241</v>
      </c>
      <c r="J10" s="5">
        <v>241</v>
      </c>
      <c r="K10" s="5">
        <v>241</v>
      </c>
      <c r="L10" s="5">
        <v>314</v>
      </c>
      <c r="M10" s="5">
        <v>160</v>
      </c>
      <c r="N10" s="5">
        <v>86</v>
      </c>
      <c r="O10" s="5">
        <v>65</v>
      </c>
      <c r="P10" s="5">
        <v>48</v>
      </c>
      <c r="Q10" s="5">
        <v>45</v>
      </c>
      <c r="R10" s="5">
        <v>40</v>
      </c>
      <c r="S10" s="5">
        <v>66</v>
      </c>
      <c r="T10" s="5">
        <v>48</v>
      </c>
      <c r="U10" s="5">
        <v>48</v>
      </c>
      <c r="V10" s="5">
        <v>48</v>
      </c>
      <c r="W10" s="5">
        <v>50</v>
      </c>
      <c r="X10" s="5">
        <v>50</v>
      </c>
      <c r="Y10" s="5">
        <v>50</v>
      </c>
    </row>
    <row r="11" spans="1:25">
      <c r="A11" s="5"/>
      <c r="B11" s="5">
        <v>12</v>
      </c>
      <c r="C11" s="6">
        <v>56</v>
      </c>
      <c r="E11" s="15" t="s">
        <v>55</v>
      </c>
      <c r="F11" s="5">
        <v>169</v>
      </c>
      <c r="G11" s="5">
        <v>169</v>
      </c>
      <c r="H11" s="5">
        <v>169</v>
      </c>
      <c r="I11" s="5">
        <v>421</v>
      </c>
      <c r="J11" s="5">
        <v>421</v>
      </c>
      <c r="K11" s="5">
        <v>421</v>
      </c>
      <c r="L11" s="5">
        <v>259</v>
      </c>
      <c r="M11" s="5">
        <v>180</v>
      </c>
      <c r="N11" s="5">
        <v>78</v>
      </c>
      <c r="O11" s="5">
        <v>58</v>
      </c>
      <c r="P11" s="5">
        <v>39</v>
      </c>
      <c r="Q11" s="5">
        <v>40</v>
      </c>
      <c r="R11" s="5">
        <v>51</v>
      </c>
      <c r="S11" s="5">
        <v>87</v>
      </c>
      <c r="T11" s="5">
        <v>86</v>
      </c>
      <c r="U11" s="5">
        <v>86</v>
      </c>
      <c r="V11" s="5">
        <v>86</v>
      </c>
      <c r="W11" s="5">
        <v>102</v>
      </c>
      <c r="X11" s="5">
        <v>102</v>
      </c>
      <c r="Y11" s="5">
        <v>102</v>
      </c>
    </row>
    <row r="12" spans="1:25">
      <c r="A12" s="5"/>
      <c r="B12" s="5">
        <v>1</v>
      </c>
      <c r="C12" s="6">
        <v>39</v>
      </c>
      <c r="E12" s="15" t="s">
        <v>56</v>
      </c>
      <c r="F12" s="5">
        <v>253</v>
      </c>
      <c r="G12" s="5">
        <v>253</v>
      </c>
      <c r="H12" s="5">
        <v>253</v>
      </c>
      <c r="I12" s="5">
        <v>214</v>
      </c>
      <c r="J12" s="5">
        <v>214</v>
      </c>
      <c r="K12" s="5">
        <v>214</v>
      </c>
      <c r="L12" s="5">
        <v>212</v>
      </c>
      <c r="M12" s="5">
        <v>118</v>
      </c>
      <c r="N12" s="5">
        <v>59</v>
      </c>
      <c r="O12" s="5">
        <v>44</v>
      </c>
      <c r="P12" s="5">
        <v>33</v>
      </c>
      <c r="Q12" s="5">
        <v>35</v>
      </c>
      <c r="R12" s="5">
        <v>35</v>
      </c>
      <c r="S12" s="5">
        <v>63</v>
      </c>
      <c r="T12" s="5">
        <v>64</v>
      </c>
      <c r="U12" s="5">
        <v>64</v>
      </c>
      <c r="V12" s="5">
        <v>64</v>
      </c>
      <c r="W12" s="5">
        <v>93</v>
      </c>
      <c r="X12" s="5">
        <v>93</v>
      </c>
      <c r="Y12" s="5">
        <v>93</v>
      </c>
    </row>
    <row r="13" spans="1:25">
      <c r="A13" s="5"/>
      <c r="B13" s="5">
        <v>2</v>
      </c>
      <c r="C13" s="6">
        <v>41</v>
      </c>
      <c r="E13" s="15" t="s">
        <v>57</v>
      </c>
      <c r="F13" s="5">
        <v>284</v>
      </c>
      <c r="G13" s="5">
        <v>284</v>
      </c>
      <c r="H13" s="5">
        <v>284</v>
      </c>
      <c r="I13" s="5">
        <v>447</v>
      </c>
      <c r="J13" s="5">
        <v>447</v>
      </c>
      <c r="K13" s="5">
        <v>447</v>
      </c>
      <c r="L13" s="5">
        <v>577</v>
      </c>
      <c r="M13" s="5">
        <v>211</v>
      </c>
      <c r="N13" s="5">
        <v>95</v>
      </c>
      <c r="O13" s="5">
        <v>59</v>
      </c>
      <c r="P13" s="5">
        <v>54</v>
      </c>
      <c r="Q13" s="5">
        <v>61</v>
      </c>
      <c r="R13" s="5">
        <v>64</v>
      </c>
      <c r="S13" s="5">
        <v>90</v>
      </c>
      <c r="T13" s="5">
        <v>106</v>
      </c>
      <c r="U13" s="5">
        <v>106</v>
      </c>
      <c r="V13" s="5">
        <v>106</v>
      </c>
      <c r="W13" s="5">
        <v>124</v>
      </c>
      <c r="X13" s="5">
        <v>124</v>
      </c>
      <c r="Y13" s="5">
        <v>124</v>
      </c>
    </row>
    <row r="14" spans="1:25">
      <c r="A14" s="5"/>
      <c r="B14" s="5">
        <v>3</v>
      </c>
      <c r="C14" s="6">
        <v>46</v>
      </c>
      <c r="E14" s="15" t="s">
        <v>58</v>
      </c>
      <c r="F14" s="5">
        <v>179</v>
      </c>
      <c r="G14" s="5">
        <v>179</v>
      </c>
      <c r="H14" s="5">
        <v>179</v>
      </c>
      <c r="I14" s="5">
        <v>137</v>
      </c>
      <c r="J14" s="5">
        <v>137</v>
      </c>
      <c r="K14" s="5">
        <v>137</v>
      </c>
      <c r="L14" s="5">
        <v>268</v>
      </c>
      <c r="M14" s="5">
        <v>166</v>
      </c>
      <c r="N14" s="5">
        <v>72</v>
      </c>
      <c r="O14" s="5">
        <v>45</v>
      </c>
      <c r="P14" s="5">
        <v>34</v>
      </c>
      <c r="Q14" s="5">
        <v>39</v>
      </c>
      <c r="R14" s="5">
        <v>40</v>
      </c>
      <c r="S14" s="5">
        <v>78</v>
      </c>
      <c r="T14" s="5">
        <v>185</v>
      </c>
      <c r="U14" s="5">
        <v>185</v>
      </c>
      <c r="V14" s="5">
        <v>185</v>
      </c>
      <c r="W14" s="5">
        <v>223</v>
      </c>
      <c r="X14" s="5">
        <v>223</v>
      </c>
      <c r="Y14" s="5">
        <v>223</v>
      </c>
    </row>
    <row r="15" spans="1:25">
      <c r="A15" s="5"/>
      <c r="B15" s="5">
        <v>4</v>
      </c>
      <c r="C15" s="6">
        <v>62</v>
      </c>
      <c r="E15" s="15" t="s">
        <v>59</v>
      </c>
      <c r="F15" s="5">
        <v>476</v>
      </c>
      <c r="G15" s="5">
        <v>476</v>
      </c>
      <c r="H15" s="5">
        <v>476</v>
      </c>
      <c r="I15" s="5">
        <v>493</v>
      </c>
      <c r="J15" s="5">
        <v>493</v>
      </c>
      <c r="K15" s="5">
        <v>493</v>
      </c>
      <c r="L15" s="5">
        <v>256</v>
      </c>
      <c r="M15" s="5">
        <v>191</v>
      </c>
      <c r="N15" s="5">
        <v>92</v>
      </c>
      <c r="O15" s="5">
        <v>61</v>
      </c>
      <c r="P15" s="5">
        <v>38</v>
      </c>
      <c r="Q15" s="5">
        <v>40</v>
      </c>
      <c r="R15" s="5">
        <v>48</v>
      </c>
      <c r="S15" s="5">
        <v>106</v>
      </c>
      <c r="T15" s="5">
        <v>157</v>
      </c>
      <c r="U15" s="5">
        <v>157</v>
      </c>
      <c r="V15" s="5">
        <v>157</v>
      </c>
      <c r="W15" s="5">
        <v>215</v>
      </c>
      <c r="X15" s="5">
        <v>215</v>
      </c>
      <c r="Y15" s="5">
        <v>215</v>
      </c>
    </row>
    <row r="16" spans="1:25">
      <c r="A16" s="5"/>
      <c r="B16" s="5">
        <v>5</v>
      </c>
      <c r="C16" s="6">
        <v>73</v>
      </c>
      <c r="E16" s="15" t="s">
        <v>60</v>
      </c>
      <c r="F16" s="5">
        <v>341</v>
      </c>
      <c r="G16" s="5">
        <v>341</v>
      </c>
      <c r="H16" s="5">
        <v>341</v>
      </c>
      <c r="I16" s="5">
        <v>151</v>
      </c>
      <c r="J16" s="5">
        <v>151</v>
      </c>
      <c r="K16" s="5">
        <v>151</v>
      </c>
      <c r="L16" s="5">
        <v>140</v>
      </c>
      <c r="M16" s="5">
        <v>113</v>
      </c>
      <c r="N16" s="5">
        <v>58</v>
      </c>
      <c r="O16" s="5">
        <v>44</v>
      </c>
      <c r="P16" s="5">
        <v>34</v>
      </c>
      <c r="Q16" s="5">
        <v>35</v>
      </c>
      <c r="R16" s="5">
        <v>36</v>
      </c>
      <c r="S16" s="5">
        <v>56</v>
      </c>
      <c r="T16" s="5">
        <v>140</v>
      </c>
      <c r="U16" s="5">
        <v>140</v>
      </c>
      <c r="V16" s="5">
        <v>140</v>
      </c>
      <c r="W16" s="5">
        <v>261</v>
      </c>
      <c r="X16" s="5">
        <v>261</v>
      </c>
      <c r="Y16" s="5">
        <v>261</v>
      </c>
    </row>
    <row r="17" spans="1:25">
      <c r="A17" s="5"/>
      <c r="B17" s="5"/>
      <c r="C17" s="6">
        <v>73</v>
      </c>
      <c r="E17" s="15" t="s">
        <v>61</v>
      </c>
      <c r="F17" s="5">
        <v>340</v>
      </c>
      <c r="G17" s="5">
        <v>340</v>
      </c>
      <c r="H17" s="5">
        <v>340</v>
      </c>
      <c r="I17" s="5">
        <v>237</v>
      </c>
      <c r="J17" s="5">
        <v>237</v>
      </c>
      <c r="K17" s="5">
        <v>237</v>
      </c>
      <c r="L17" s="5">
        <v>335</v>
      </c>
      <c r="M17" s="5">
        <v>174</v>
      </c>
      <c r="N17" s="5">
        <v>82</v>
      </c>
      <c r="O17" s="5">
        <v>60</v>
      </c>
      <c r="P17" s="5">
        <v>43</v>
      </c>
      <c r="Q17" s="5">
        <v>43</v>
      </c>
      <c r="R17" s="5">
        <v>43</v>
      </c>
      <c r="S17" s="5">
        <v>90</v>
      </c>
      <c r="T17" s="5">
        <v>119</v>
      </c>
      <c r="U17" s="5">
        <v>119</v>
      </c>
      <c r="V17" s="5">
        <v>119</v>
      </c>
      <c r="W17" s="5">
        <v>320</v>
      </c>
      <c r="X17" s="5">
        <v>320</v>
      </c>
      <c r="Y17" s="5">
        <v>320</v>
      </c>
    </row>
    <row r="18" spans="1:25">
      <c r="A18" s="5"/>
      <c r="B18" s="5"/>
      <c r="C18" s="6">
        <v>73</v>
      </c>
      <c r="E18" s="15" t="s">
        <v>62</v>
      </c>
      <c r="F18" s="5">
        <v>314</v>
      </c>
      <c r="G18" s="5">
        <v>314</v>
      </c>
      <c r="H18" s="5">
        <v>314</v>
      </c>
      <c r="I18" s="5">
        <v>277</v>
      </c>
      <c r="J18" s="5">
        <v>277</v>
      </c>
      <c r="K18" s="5">
        <v>277</v>
      </c>
      <c r="L18" s="5">
        <v>190</v>
      </c>
      <c r="M18" s="5">
        <v>108</v>
      </c>
      <c r="N18" s="5">
        <v>64</v>
      </c>
      <c r="O18" s="5">
        <v>57</v>
      </c>
      <c r="P18" s="5">
        <v>42</v>
      </c>
      <c r="Q18" s="5">
        <v>44</v>
      </c>
      <c r="R18" s="5">
        <v>39</v>
      </c>
      <c r="S18" s="5">
        <v>62</v>
      </c>
      <c r="T18" s="5">
        <v>120</v>
      </c>
      <c r="U18" s="5">
        <v>120</v>
      </c>
      <c r="V18" s="5">
        <v>120</v>
      </c>
      <c r="W18" s="5">
        <v>336</v>
      </c>
      <c r="X18" s="5">
        <v>336</v>
      </c>
      <c r="Y18" s="5">
        <v>336</v>
      </c>
    </row>
    <row r="19" spans="1:25">
      <c r="A19" s="5"/>
      <c r="B19" s="5">
        <v>6</v>
      </c>
      <c r="C19" s="6">
        <v>70</v>
      </c>
      <c r="E19" s="15" t="s">
        <v>63</v>
      </c>
      <c r="F19" s="5">
        <v>242</v>
      </c>
      <c r="G19" s="5">
        <v>242</v>
      </c>
      <c r="H19" s="5">
        <v>242</v>
      </c>
      <c r="I19" s="5">
        <v>239</v>
      </c>
      <c r="J19" s="5">
        <v>239</v>
      </c>
      <c r="K19" s="5">
        <v>239</v>
      </c>
      <c r="L19" s="5">
        <v>123</v>
      </c>
      <c r="M19" s="5">
        <v>112</v>
      </c>
      <c r="N19" s="5">
        <v>71</v>
      </c>
      <c r="O19" s="5">
        <v>49</v>
      </c>
      <c r="P19" s="5">
        <v>39</v>
      </c>
      <c r="Q19" s="5">
        <v>39</v>
      </c>
      <c r="R19" s="5">
        <v>38</v>
      </c>
      <c r="S19" s="5">
        <v>82</v>
      </c>
      <c r="T19" s="5">
        <v>145</v>
      </c>
      <c r="U19" s="5">
        <v>145</v>
      </c>
      <c r="V19" s="5">
        <v>145</v>
      </c>
      <c r="W19" s="5">
        <v>194</v>
      </c>
      <c r="X19" s="5">
        <v>194</v>
      </c>
      <c r="Y19" s="5">
        <v>194</v>
      </c>
    </row>
    <row r="20" spans="1:25">
      <c r="A20" s="5"/>
      <c r="B20" s="5"/>
      <c r="C20" s="6">
        <v>70</v>
      </c>
      <c r="E20" s="15" t="s">
        <v>64</v>
      </c>
      <c r="F20" s="5">
        <v>269</v>
      </c>
      <c r="G20" s="5">
        <v>269</v>
      </c>
      <c r="H20" s="5">
        <v>269</v>
      </c>
      <c r="I20" s="5">
        <v>344</v>
      </c>
      <c r="J20" s="5">
        <v>344</v>
      </c>
      <c r="K20" s="5">
        <v>344</v>
      </c>
      <c r="L20" s="5">
        <v>328</v>
      </c>
      <c r="M20" s="5">
        <v>331</v>
      </c>
      <c r="N20" s="5">
        <v>135</v>
      </c>
      <c r="O20" s="5">
        <v>85</v>
      </c>
      <c r="P20" s="5">
        <v>59</v>
      </c>
      <c r="Q20" s="5">
        <v>55</v>
      </c>
      <c r="R20" s="5">
        <v>55</v>
      </c>
      <c r="S20" s="5">
        <v>118</v>
      </c>
      <c r="T20" s="5">
        <v>220</v>
      </c>
      <c r="U20" s="5">
        <v>220</v>
      </c>
      <c r="V20" s="5">
        <v>220</v>
      </c>
      <c r="W20" s="5">
        <v>343</v>
      </c>
      <c r="X20" s="5">
        <v>343</v>
      </c>
      <c r="Y20" s="5">
        <v>343</v>
      </c>
    </row>
    <row r="21" spans="1:25">
      <c r="A21" s="5"/>
      <c r="B21" s="5"/>
      <c r="C21" s="6">
        <v>70</v>
      </c>
      <c r="E21" s="15" t="s">
        <v>65</v>
      </c>
      <c r="F21" s="5">
        <v>660</v>
      </c>
      <c r="G21" s="5">
        <v>660</v>
      </c>
      <c r="H21" s="5">
        <v>660</v>
      </c>
      <c r="I21" s="5">
        <v>418</v>
      </c>
      <c r="J21" s="5">
        <v>418</v>
      </c>
      <c r="K21" s="5">
        <v>418</v>
      </c>
      <c r="L21" s="5">
        <v>494</v>
      </c>
      <c r="M21" s="5">
        <v>297</v>
      </c>
      <c r="N21" s="5">
        <v>147</v>
      </c>
      <c r="O21" s="5">
        <v>100</v>
      </c>
      <c r="P21" s="5">
        <v>65</v>
      </c>
      <c r="Q21" s="5">
        <v>64</v>
      </c>
      <c r="R21" s="5">
        <v>80</v>
      </c>
      <c r="S21" s="5">
        <v>122</v>
      </c>
      <c r="T21" s="5">
        <v>242</v>
      </c>
      <c r="U21" s="5">
        <v>242</v>
      </c>
      <c r="V21" s="5">
        <v>242</v>
      </c>
      <c r="W21" s="5">
        <v>183</v>
      </c>
      <c r="X21" s="5">
        <v>183</v>
      </c>
      <c r="Y21" s="5">
        <v>183</v>
      </c>
    </row>
    <row r="22" spans="1:25">
      <c r="A22" s="5">
        <v>1971</v>
      </c>
      <c r="B22" s="5">
        <v>7</v>
      </c>
      <c r="C22" s="6">
        <v>215</v>
      </c>
      <c r="E22" s="15" t="s">
        <v>20</v>
      </c>
      <c r="F22" s="5">
        <v>275</v>
      </c>
      <c r="G22" s="5">
        <v>275</v>
      </c>
      <c r="H22" s="5">
        <v>275</v>
      </c>
      <c r="I22" s="5">
        <v>235</v>
      </c>
      <c r="J22" s="5">
        <v>235</v>
      </c>
      <c r="K22" s="5">
        <v>235</v>
      </c>
      <c r="L22" s="5">
        <v>173</v>
      </c>
      <c r="M22" s="5">
        <v>116</v>
      </c>
      <c r="N22" s="5">
        <v>105</v>
      </c>
      <c r="O22" s="5">
        <v>62</v>
      </c>
      <c r="P22" s="5">
        <v>48</v>
      </c>
      <c r="Q22" s="5">
        <v>51</v>
      </c>
      <c r="R22" s="5">
        <v>45</v>
      </c>
      <c r="S22" s="5">
        <v>69</v>
      </c>
      <c r="T22" s="5">
        <v>117</v>
      </c>
      <c r="U22" s="5">
        <v>117</v>
      </c>
      <c r="V22" s="5">
        <v>117</v>
      </c>
      <c r="W22" s="5">
        <v>145</v>
      </c>
      <c r="X22" s="5">
        <v>145</v>
      </c>
      <c r="Y22" s="5">
        <v>145</v>
      </c>
    </row>
    <row r="23" spans="1:25">
      <c r="A23" s="5"/>
      <c r="B23" s="5"/>
      <c r="C23" s="6">
        <v>215</v>
      </c>
      <c r="E23" s="15" t="s">
        <v>21</v>
      </c>
      <c r="F23" s="5">
        <v>176</v>
      </c>
      <c r="G23" s="5">
        <v>176</v>
      </c>
      <c r="H23" s="5">
        <v>176</v>
      </c>
      <c r="I23" s="5">
        <v>133</v>
      </c>
      <c r="J23" s="5">
        <v>133</v>
      </c>
      <c r="K23" s="5">
        <v>133</v>
      </c>
      <c r="L23" s="5">
        <v>93</v>
      </c>
      <c r="M23" s="5">
        <v>73</v>
      </c>
      <c r="N23" s="5">
        <v>32</v>
      </c>
      <c r="O23" s="5">
        <v>40</v>
      </c>
      <c r="P23" s="5">
        <v>30</v>
      </c>
      <c r="Q23" s="5">
        <v>31</v>
      </c>
      <c r="R23" s="5">
        <v>28</v>
      </c>
      <c r="S23" s="5">
        <v>68</v>
      </c>
      <c r="T23" s="5">
        <v>133</v>
      </c>
      <c r="U23" s="5">
        <v>133</v>
      </c>
      <c r="V23" s="5">
        <v>133</v>
      </c>
      <c r="W23" s="5">
        <v>169</v>
      </c>
      <c r="X23" s="5">
        <v>169</v>
      </c>
      <c r="Y23" s="5">
        <v>169</v>
      </c>
    </row>
    <row r="24" spans="1:25">
      <c r="A24" s="5"/>
      <c r="B24" s="5"/>
      <c r="C24" s="6">
        <v>215</v>
      </c>
      <c r="E24" s="15" t="s">
        <v>22</v>
      </c>
      <c r="F24" s="5">
        <v>216</v>
      </c>
      <c r="G24" s="5">
        <v>216</v>
      </c>
      <c r="H24" s="5">
        <v>216</v>
      </c>
      <c r="I24" s="5">
        <v>273</v>
      </c>
      <c r="J24" s="5">
        <v>273</v>
      </c>
      <c r="K24" s="5">
        <v>273</v>
      </c>
      <c r="L24" s="5">
        <v>276</v>
      </c>
      <c r="M24" s="5">
        <v>187</v>
      </c>
      <c r="N24" s="5">
        <v>90</v>
      </c>
      <c r="O24" s="5">
        <v>63</v>
      </c>
      <c r="P24" s="5">
        <v>50</v>
      </c>
      <c r="Q24" s="5">
        <v>50</v>
      </c>
      <c r="R24" s="5">
        <v>51</v>
      </c>
      <c r="S24" s="5">
        <v>124</v>
      </c>
      <c r="T24" s="5">
        <v>119</v>
      </c>
      <c r="U24" s="5">
        <v>119</v>
      </c>
      <c r="V24" s="5">
        <v>119</v>
      </c>
      <c r="W24" s="5">
        <v>177</v>
      </c>
      <c r="X24" s="5">
        <v>177</v>
      </c>
      <c r="Y24" s="5">
        <v>177</v>
      </c>
    </row>
    <row r="25" spans="1:25">
      <c r="A25" s="5"/>
      <c r="B25" s="5">
        <v>8</v>
      </c>
      <c r="C25" s="6">
        <v>216</v>
      </c>
      <c r="E25" s="15" t="s">
        <v>23</v>
      </c>
      <c r="F25" s="5">
        <v>360</v>
      </c>
      <c r="G25" s="5">
        <v>360</v>
      </c>
      <c r="H25" s="5">
        <v>360</v>
      </c>
      <c r="I25" s="5">
        <v>496</v>
      </c>
      <c r="J25" s="5">
        <v>496</v>
      </c>
      <c r="K25" s="5">
        <v>496</v>
      </c>
      <c r="L25" s="5">
        <v>223</v>
      </c>
      <c r="M25" s="5">
        <v>140</v>
      </c>
      <c r="N25" s="5">
        <v>75</v>
      </c>
      <c r="O25" s="5">
        <v>57</v>
      </c>
      <c r="P25" s="5">
        <v>48</v>
      </c>
      <c r="Q25" s="5">
        <v>45</v>
      </c>
      <c r="R25" s="5">
        <v>35</v>
      </c>
      <c r="S25" s="5">
        <v>69</v>
      </c>
      <c r="T25" s="5">
        <v>76</v>
      </c>
      <c r="U25" s="5">
        <v>76</v>
      </c>
      <c r="V25" s="5">
        <v>76</v>
      </c>
      <c r="W25" s="5">
        <v>127</v>
      </c>
      <c r="X25" s="5">
        <v>127</v>
      </c>
      <c r="Y25" s="5">
        <v>127</v>
      </c>
    </row>
    <row r="26" spans="1:25">
      <c r="A26" s="5"/>
      <c r="B26" s="5"/>
      <c r="C26" s="6">
        <v>216</v>
      </c>
      <c r="E26" s="15" t="s">
        <v>24</v>
      </c>
      <c r="F26" s="5">
        <v>247</v>
      </c>
      <c r="G26" s="5">
        <v>247</v>
      </c>
      <c r="H26" s="5">
        <v>247</v>
      </c>
      <c r="I26" s="5">
        <v>208</v>
      </c>
      <c r="J26" s="5">
        <v>208</v>
      </c>
      <c r="K26" s="5">
        <v>208</v>
      </c>
      <c r="L26" s="5">
        <v>250</v>
      </c>
      <c r="M26" s="5">
        <v>149</v>
      </c>
      <c r="N26" s="5">
        <v>78</v>
      </c>
      <c r="O26" s="5">
        <v>61</v>
      </c>
      <c r="P26" s="5">
        <v>49</v>
      </c>
      <c r="Q26" s="5">
        <v>47</v>
      </c>
      <c r="R26" s="5">
        <v>51</v>
      </c>
      <c r="S26" s="5">
        <v>67</v>
      </c>
      <c r="T26" s="5">
        <v>93</v>
      </c>
      <c r="U26" s="5">
        <v>93</v>
      </c>
      <c r="V26" s="5">
        <v>93</v>
      </c>
      <c r="W26" s="5">
        <v>104</v>
      </c>
      <c r="X26" s="5">
        <v>104</v>
      </c>
      <c r="Y26" s="5">
        <v>104</v>
      </c>
    </row>
    <row r="27" spans="1:25">
      <c r="A27" s="5"/>
      <c r="B27" s="5"/>
      <c r="C27" s="6">
        <v>216</v>
      </c>
      <c r="E27" s="15" t="s">
        <v>25</v>
      </c>
      <c r="F27" s="5">
        <v>166</v>
      </c>
      <c r="G27" s="5">
        <v>166</v>
      </c>
      <c r="H27" s="5">
        <v>166</v>
      </c>
      <c r="I27" s="5">
        <v>222</v>
      </c>
      <c r="J27" s="5">
        <v>222</v>
      </c>
      <c r="K27" s="5">
        <v>222</v>
      </c>
      <c r="L27" s="5">
        <v>370</v>
      </c>
      <c r="M27" s="5">
        <v>139</v>
      </c>
      <c r="N27" s="5">
        <v>74</v>
      </c>
      <c r="O27" s="5">
        <v>56</v>
      </c>
      <c r="P27" s="5">
        <v>51</v>
      </c>
      <c r="Q27" s="5">
        <v>47</v>
      </c>
      <c r="R27" s="5">
        <v>45</v>
      </c>
      <c r="S27" s="5">
        <v>101</v>
      </c>
      <c r="T27" s="5">
        <v>152</v>
      </c>
      <c r="U27" s="5">
        <v>152</v>
      </c>
      <c r="V27" s="5">
        <v>152</v>
      </c>
      <c r="W27" s="5">
        <v>144</v>
      </c>
      <c r="X27" s="5">
        <v>144</v>
      </c>
      <c r="Y27" s="5">
        <v>144</v>
      </c>
    </row>
    <row r="28" spans="1:25">
      <c r="A28" s="5"/>
      <c r="B28" s="5">
        <v>9</v>
      </c>
      <c r="C28" s="6">
        <v>525</v>
      </c>
      <c r="E28" s="15" t="s">
        <v>26</v>
      </c>
      <c r="F28" s="5">
        <v>199</v>
      </c>
      <c r="G28" s="5">
        <v>199</v>
      </c>
      <c r="H28" s="5">
        <v>199</v>
      </c>
      <c r="I28" s="5">
        <v>339</v>
      </c>
      <c r="J28" s="5">
        <v>339</v>
      </c>
      <c r="K28" s="5">
        <v>339</v>
      </c>
      <c r="L28" s="5">
        <v>193</v>
      </c>
      <c r="M28" s="5">
        <v>94</v>
      </c>
      <c r="N28" s="5">
        <v>57</v>
      </c>
      <c r="O28" s="5">
        <v>52</v>
      </c>
      <c r="P28" s="5">
        <v>45</v>
      </c>
      <c r="Q28" s="5">
        <v>42</v>
      </c>
      <c r="R28" s="5">
        <v>41</v>
      </c>
      <c r="S28" s="5">
        <v>93</v>
      </c>
      <c r="T28" s="5">
        <v>126</v>
      </c>
      <c r="U28" s="5">
        <v>126</v>
      </c>
      <c r="V28" s="5">
        <v>126</v>
      </c>
      <c r="W28" s="5">
        <v>76</v>
      </c>
      <c r="X28" s="5">
        <v>76</v>
      </c>
      <c r="Y28" s="5">
        <v>76</v>
      </c>
    </row>
    <row r="29" spans="1:25">
      <c r="A29" s="5"/>
      <c r="B29" s="5">
        <v>10</v>
      </c>
      <c r="C29" s="6">
        <v>259</v>
      </c>
      <c r="E29" s="15" t="s">
        <v>27</v>
      </c>
      <c r="F29" s="5">
        <v>224</v>
      </c>
      <c r="G29" s="5">
        <v>224</v>
      </c>
      <c r="H29" s="5">
        <v>224</v>
      </c>
      <c r="I29" s="5">
        <v>336</v>
      </c>
      <c r="J29" s="5">
        <v>336</v>
      </c>
      <c r="K29" s="5">
        <v>336</v>
      </c>
      <c r="L29" s="5">
        <v>152</v>
      </c>
      <c r="M29" s="5">
        <v>81</v>
      </c>
      <c r="N29" s="5">
        <v>57</v>
      </c>
      <c r="O29" s="5">
        <v>48</v>
      </c>
      <c r="P29" s="5">
        <v>42</v>
      </c>
      <c r="Q29" s="5">
        <v>43</v>
      </c>
      <c r="R29" s="5">
        <v>38</v>
      </c>
      <c r="S29" s="5">
        <v>83</v>
      </c>
      <c r="T29" s="5">
        <v>46</v>
      </c>
      <c r="U29" s="5">
        <v>46</v>
      </c>
      <c r="V29" s="5">
        <v>46</v>
      </c>
      <c r="W29" s="5">
        <v>142</v>
      </c>
      <c r="X29" s="5">
        <v>142</v>
      </c>
      <c r="Y29" s="5">
        <v>142</v>
      </c>
    </row>
    <row r="30" spans="1:25">
      <c r="A30" s="5"/>
      <c r="B30" s="5">
        <v>11</v>
      </c>
      <c r="C30" s="6">
        <v>113</v>
      </c>
      <c r="E30" s="15" t="s">
        <v>28</v>
      </c>
      <c r="F30" s="5">
        <v>301</v>
      </c>
      <c r="G30" s="5">
        <v>301</v>
      </c>
      <c r="H30" s="5">
        <v>301</v>
      </c>
      <c r="I30" s="5">
        <v>350</v>
      </c>
      <c r="J30" s="5">
        <v>350</v>
      </c>
      <c r="K30" s="5">
        <v>350</v>
      </c>
      <c r="L30" s="5">
        <v>242</v>
      </c>
      <c r="M30" s="5">
        <v>156</v>
      </c>
      <c r="N30" s="5">
        <v>89</v>
      </c>
      <c r="O30" s="5">
        <v>63</v>
      </c>
      <c r="P30" s="5">
        <v>45</v>
      </c>
      <c r="Q30" s="5">
        <v>52</v>
      </c>
      <c r="R30" s="5">
        <v>37</v>
      </c>
      <c r="S30" s="5">
        <v>53</v>
      </c>
      <c r="T30" s="5">
        <v>35</v>
      </c>
      <c r="U30" s="5">
        <v>35</v>
      </c>
      <c r="V30" s="5">
        <v>35</v>
      </c>
      <c r="W30" s="5">
        <v>202</v>
      </c>
      <c r="X30" s="5">
        <v>202</v>
      </c>
      <c r="Y30" s="5">
        <v>202</v>
      </c>
    </row>
    <row r="31" spans="1:25">
      <c r="A31" s="5"/>
      <c r="B31" s="5">
        <v>12</v>
      </c>
      <c r="C31" s="6">
        <v>69</v>
      </c>
      <c r="E31" s="15" t="s">
        <v>29</v>
      </c>
      <c r="F31" s="5">
        <v>377</v>
      </c>
      <c r="G31" s="5">
        <v>377</v>
      </c>
      <c r="H31" s="5">
        <v>377</v>
      </c>
      <c r="I31" s="5">
        <v>291</v>
      </c>
      <c r="J31" s="5">
        <v>291</v>
      </c>
      <c r="K31" s="5">
        <v>291</v>
      </c>
      <c r="L31" s="5">
        <v>205</v>
      </c>
      <c r="M31" s="5">
        <v>119</v>
      </c>
      <c r="N31" s="5">
        <v>65</v>
      </c>
      <c r="O31" s="5">
        <v>52</v>
      </c>
      <c r="P31" s="5">
        <v>46</v>
      </c>
      <c r="Q31" s="5">
        <v>43</v>
      </c>
      <c r="R31" s="5">
        <v>45</v>
      </c>
      <c r="S31" s="5">
        <v>87</v>
      </c>
      <c r="T31" s="5">
        <v>95</v>
      </c>
      <c r="U31" s="5">
        <v>95</v>
      </c>
      <c r="V31" s="5">
        <v>95</v>
      </c>
      <c r="W31" s="5">
        <v>165</v>
      </c>
      <c r="X31" s="5">
        <v>165</v>
      </c>
      <c r="Y31" s="5">
        <v>165</v>
      </c>
    </row>
    <row r="32" spans="1:25">
      <c r="A32" s="5"/>
      <c r="B32" s="5">
        <v>1</v>
      </c>
      <c r="C32" s="6">
        <v>53</v>
      </c>
      <c r="E32" s="15" t="s">
        <v>30</v>
      </c>
      <c r="F32" s="5">
        <v>123</v>
      </c>
      <c r="G32" s="5">
        <v>123</v>
      </c>
      <c r="H32" s="5">
        <v>123</v>
      </c>
      <c r="I32" s="5">
        <v>202</v>
      </c>
      <c r="J32" s="5">
        <v>202</v>
      </c>
      <c r="K32" s="5">
        <v>202</v>
      </c>
      <c r="L32" s="5">
        <v>252</v>
      </c>
      <c r="M32" s="5">
        <v>174</v>
      </c>
      <c r="N32" s="5">
        <v>69</v>
      </c>
      <c r="O32" s="5">
        <v>61</v>
      </c>
      <c r="P32" s="5">
        <v>48</v>
      </c>
      <c r="Q32" s="5">
        <v>45</v>
      </c>
      <c r="R32" s="5">
        <v>42</v>
      </c>
      <c r="S32" s="5">
        <v>54</v>
      </c>
      <c r="T32" s="5">
        <v>44</v>
      </c>
      <c r="U32" s="5">
        <v>44</v>
      </c>
      <c r="V32" s="5">
        <v>44</v>
      </c>
      <c r="W32" s="5">
        <v>62</v>
      </c>
      <c r="X32" s="5">
        <v>62</v>
      </c>
      <c r="Y32" s="5">
        <v>62</v>
      </c>
    </row>
    <row r="33" spans="1:25">
      <c r="A33" s="5"/>
      <c r="B33" s="5">
        <v>2</v>
      </c>
      <c r="C33" s="6">
        <v>49</v>
      </c>
      <c r="E33" s="15" t="s">
        <v>31</v>
      </c>
      <c r="F33" s="5">
        <v>199</v>
      </c>
      <c r="G33" s="5">
        <v>199</v>
      </c>
      <c r="H33" s="5">
        <v>199</v>
      </c>
      <c r="I33" s="5">
        <v>154</v>
      </c>
      <c r="J33" s="5">
        <v>154</v>
      </c>
      <c r="K33" s="5">
        <v>154</v>
      </c>
      <c r="L33" s="5">
        <v>248</v>
      </c>
      <c r="M33" s="5">
        <v>157</v>
      </c>
      <c r="N33" s="5">
        <v>79</v>
      </c>
      <c r="O33" s="5">
        <v>58</v>
      </c>
      <c r="P33" s="5">
        <v>47</v>
      </c>
      <c r="Q33" s="5">
        <v>50</v>
      </c>
      <c r="R33" s="5">
        <v>43</v>
      </c>
      <c r="S33" s="5">
        <v>65</v>
      </c>
      <c r="T33" s="5">
        <v>97</v>
      </c>
      <c r="U33" s="5">
        <v>97</v>
      </c>
      <c r="V33" s="5">
        <v>97</v>
      </c>
      <c r="W33" s="5">
        <v>203</v>
      </c>
      <c r="X33" s="5">
        <v>203</v>
      </c>
      <c r="Y33" s="5">
        <v>203</v>
      </c>
    </row>
    <row r="34" spans="1:25">
      <c r="A34" s="5"/>
      <c r="B34" s="5">
        <v>3</v>
      </c>
      <c r="C34" s="6">
        <v>59</v>
      </c>
      <c r="E34" s="15" t="s">
        <v>32</v>
      </c>
      <c r="F34" s="5">
        <v>221</v>
      </c>
      <c r="G34" s="5">
        <v>221</v>
      </c>
      <c r="H34" s="5">
        <v>221</v>
      </c>
      <c r="I34" s="5">
        <v>188</v>
      </c>
      <c r="J34" s="5">
        <v>188</v>
      </c>
      <c r="K34" s="5">
        <v>188</v>
      </c>
      <c r="L34" s="5">
        <v>155</v>
      </c>
      <c r="M34" s="5">
        <v>78</v>
      </c>
      <c r="N34" s="5">
        <v>66</v>
      </c>
      <c r="O34" s="5">
        <v>53</v>
      </c>
      <c r="P34" s="5">
        <v>42</v>
      </c>
      <c r="Q34" s="5">
        <v>40</v>
      </c>
      <c r="R34" s="5">
        <v>36</v>
      </c>
      <c r="S34" s="5">
        <v>54</v>
      </c>
      <c r="T34" s="5">
        <v>114</v>
      </c>
      <c r="U34" s="5">
        <v>114</v>
      </c>
      <c r="V34" s="5">
        <v>114</v>
      </c>
      <c r="W34" s="5">
        <v>127</v>
      </c>
      <c r="X34" s="5">
        <v>127</v>
      </c>
      <c r="Y34" s="5">
        <v>127</v>
      </c>
    </row>
    <row r="35" spans="1:25">
      <c r="A35" s="5"/>
      <c r="B35" s="5">
        <v>4</v>
      </c>
      <c r="C35" s="6">
        <v>110</v>
      </c>
      <c r="E35" s="15" t="s">
        <v>33</v>
      </c>
      <c r="F35" s="5">
        <v>235</v>
      </c>
      <c r="G35" s="5">
        <v>235</v>
      </c>
      <c r="H35" s="5">
        <v>235</v>
      </c>
      <c r="I35" s="5">
        <v>406</v>
      </c>
      <c r="J35" s="5">
        <v>406</v>
      </c>
      <c r="K35" s="5">
        <v>406</v>
      </c>
      <c r="L35" s="5">
        <v>358</v>
      </c>
      <c r="M35" s="5">
        <v>202</v>
      </c>
      <c r="N35" s="5">
        <v>98</v>
      </c>
      <c r="O35" s="5">
        <v>61</v>
      </c>
      <c r="P35" s="5">
        <v>47</v>
      </c>
      <c r="Q35" s="5">
        <v>47</v>
      </c>
      <c r="R35" s="5">
        <v>66</v>
      </c>
      <c r="S35" s="5">
        <v>91</v>
      </c>
      <c r="T35" s="5">
        <v>85</v>
      </c>
      <c r="U35" s="5">
        <v>85</v>
      </c>
      <c r="V35" s="5">
        <v>85</v>
      </c>
      <c r="W35" s="5">
        <v>100</v>
      </c>
      <c r="X35" s="5">
        <v>100</v>
      </c>
      <c r="Y35" s="5">
        <v>100</v>
      </c>
    </row>
    <row r="36" spans="1:25">
      <c r="A36" s="5"/>
      <c r="B36" s="5">
        <v>5</v>
      </c>
      <c r="C36" s="6">
        <v>179</v>
      </c>
      <c r="E36" s="15" t="s">
        <v>34</v>
      </c>
      <c r="F36" s="5">
        <v>141</v>
      </c>
      <c r="G36" s="5">
        <v>141</v>
      </c>
      <c r="H36" s="5">
        <v>141</v>
      </c>
      <c r="I36" s="5">
        <v>257</v>
      </c>
      <c r="J36" s="5">
        <v>257</v>
      </c>
      <c r="K36" s="5">
        <v>257</v>
      </c>
      <c r="L36" s="5">
        <v>311</v>
      </c>
      <c r="M36" s="5">
        <v>163</v>
      </c>
      <c r="N36" s="5">
        <v>90</v>
      </c>
      <c r="O36" s="5">
        <v>81</v>
      </c>
      <c r="P36" s="5">
        <v>68</v>
      </c>
      <c r="Q36" s="5">
        <v>74</v>
      </c>
      <c r="R36" s="5">
        <v>72</v>
      </c>
      <c r="S36" s="5">
        <v>114</v>
      </c>
      <c r="T36" s="5">
        <v>110</v>
      </c>
      <c r="U36" s="5">
        <v>110</v>
      </c>
      <c r="V36" s="5">
        <v>110</v>
      </c>
      <c r="W36" s="5">
        <v>117</v>
      </c>
      <c r="X36" s="5">
        <v>117</v>
      </c>
      <c r="Y36" s="5">
        <v>117</v>
      </c>
    </row>
    <row r="37" spans="1:25">
      <c r="A37" s="5"/>
      <c r="B37" s="5"/>
      <c r="C37" s="6">
        <v>179</v>
      </c>
      <c r="E37" s="15" t="s">
        <v>35</v>
      </c>
      <c r="F37" s="5">
        <v>239</v>
      </c>
      <c r="G37" s="5">
        <v>239</v>
      </c>
      <c r="H37" s="5">
        <v>239</v>
      </c>
      <c r="I37" s="5">
        <v>294</v>
      </c>
      <c r="J37" s="5">
        <v>294</v>
      </c>
      <c r="K37" s="5">
        <v>294</v>
      </c>
      <c r="L37" s="5">
        <v>249</v>
      </c>
      <c r="M37" s="5">
        <v>209</v>
      </c>
      <c r="N37" s="5">
        <v>101</v>
      </c>
      <c r="O37" s="5">
        <v>76</v>
      </c>
      <c r="P37" s="5">
        <v>61</v>
      </c>
      <c r="Q37" s="5">
        <v>60</v>
      </c>
      <c r="R37" s="5">
        <v>52</v>
      </c>
      <c r="S37" s="5">
        <v>65</v>
      </c>
      <c r="T37" s="5">
        <v>99</v>
      </c>
      <c r="U37" s="5">
        <v>99</v>
      </c>
      <c r="V37" s="5">
        <v>99</v>
      </c>
      <c r="W37" s="5">
        <v>116</v>
      </c>
      <c r="X37" s="5">
        <v>116</v>
      </c>
      <c r="Y37" s="5">
        <v>116</v>
      </c>
    </row>
    <row r="38" spans="1:25">
      <c r="A38" s="5"/>
      <c r="B38" s="5"/>
      <c r="C38" s="6">
        <v>179</v>
      </c>
      <c r="E38" s="15" t="s">
        <v>36</v>
      </c>
      <c r="F38" s="5">
        <v>246</v>
      </c>
      <c r="G38" s="5">
        <v>246</v>
      </c>
      <c r="H38" s="5">
        <v>246</v>
      </c>
      <c r="I38" s="5">
        <v>233</v>
      </c>
      <c r="J38" s="5">
        <v>233</v>
      </c>
      <c r="K38" s="5">
        <v>233</v>
      </c>
      <c r="L38" s="5">
        <v>303</v>
      </c>
      <c r="M38" s="5">
        <v>182</v>
      </c>
      <c r="N38" s="5">
        <v>97</v>
      </c>
      <c r="O38" s="5">
        <v>56</v>
      </c>
      <c r="P38" s="5">
        <v>131.30000000000001</v>
      </c>
      <c r="Q38" s="5">
        <v>75.400000000000006</v>
      </c>
      <c r="R38" s="5">
        <v>48.4</v>
      </c>
      <c r="S38" s="5">
        <v>48.5</v>
      </c>
      <c r="T38" s="5">
        <v>51.9</v>
      </c>
      <c r="U38" s="5">
        <v>51.9</v>
      </c>
      <c r="V38" s="5">
        <v>51.9</v>
      </c>
      <c r="W38" s="5">
        <v>69.8</v>
      </c>
      <c r="X38" s="5">
        <v>69.8</v>
      </c>
      <c r="Y38" s="5">
        <v>69.8</v>
      </c>
    </row>
    <row r="39" spans="1:25">
      <c r="A39" s="5"/>
      <c r="B39" s="5">
        <v>6</v>
      </c>
      <c r="C39" s="6">
        <v>181</v>
      </c>
      <c r="E39" s="15" t="s">
        <v>37</v>
      </c>
      <c r="F39" s="5">
        <v>72.3</v>
      </c>
      <c r="G39" s="5">
        <v>72.3</v>
      </c>
      <c r="H39" s="5">
        <v>72.3</v>
      </c>
      <c r="I39" s="5">
        <v>140.30000000000001</v>
      </c>
      <c r="J39" s="5">
        <v>140.30000000000001</v>
      </c>
      <c r="K39" s="5">
        <v>140.30000000000001</v>
      </c>
      <c r="L39" s="5">
        <v>266.5</v>
      </c>
      <c r="M39" s="5">
        <v>245.2</v>
      </c>
      <c r="N39" s="5">
        <v>357</v>
      </c>
      <c r="O39" s="5">
        <v>237</v>
      </c>
      <c r="P39" s="5">
        <v>74.099999999999994</v>
      </c>
      <c r="Q39" s="5">
        <v>52.9</v>
      </c>
      <c r="R39" s="5">
        <v>53.9</v>
      </c>
      <c r="S39" s="5">
        <v>49.5</v>
      </c>
      <c r="T39" s="5">
        <v>53.2</v>
      </c>
      <c r="U39" s="5">
        <v>53.2</v>
      </c>
      <c r="V39" s="5">
        <v>53.2</v>
      </c>
      <c r="W39" s="5">
        <v>84.7</v>
      </c>
      <c r="X39" s="5">
        <v>84.7</v>
      </c>
      <c r="Y39" s="5">
        <v>84.7</v>
      </c>
    </row>
    <row r="40" spans="1:25">
      <c r="A40" s="5"/>
      <c r="B40" s="5"/>
      <c r="C40" s="6">
        <v>181</v>
      </c>
      <c r="E40" s="15" t="s">
        <v>38</v>
      </c>
      <c r="F40" s="5">
        <v>75.5</v>
      </c>
      <c r="G40" s="5">
        <v>75.5</v>
      </c>
      <c r="H40" s="5">
        <v>75.5</v>
      </c>
      <c r="I40" s="5">
        <v>80.599999999999994</v>
      </c>
      <c r="J40" s="5">
        <v>80.599999999999994</v>
      </c>
      <c r="K40" s="5">
        <v>80.599999999999994</v>
      </c>
      <c r="L40" s="5">
        <v>118.5</v>
      </c>
      <c r="M40" s="5">
        <v>261.7</v>
      </c>
      <c r="N40" s="5">
        <v>225.1</v>
      </c>
      <c r="O40" s="5">
        <v>162.19999999999999</v>
      </c>
      <c r="P40" s="5">
        <v>101.6</v>
      </c>
      <c r="Q40" s="5">
        <v>69.8</v>
      </c>
      <c r="R40" s="5">
        <v>53.1</v>
      </c>
      <c r="S40" s="5">
        <v>48.9</v>
      </c>
      <c r="T40" s="5">
        <v>48.7</v>
      </c>
      <c r="U40" s="5">
        <v>48.7</v>
      </c>
      <c r="V40" s="5">
        <v>48.7</v>
      </c>
      <c r="W40" s="5">
        <v>62</v>
      </c>
      <c r="X40" s="5">
        <v>62</v>
      </c>
      <c r="Y40" s="5">
        <v>62</v>
      </c>
    </row>
    <row r="41" spans="1:25">
      <c r="A41" s="5"/>
      <c r="B41" s="5"/>
      <c r="C41" s="6">
        <v>181</v>
      </c>
      <c r="E41" s="15" t="s">
        <v>39</v>
      </c>
      <c r="F41" s="5">
        <v>87.7</v>
      </c>
      <c r="G41" s="5">
        <v>87.7</v>
      </c>
      <c r="H41" s="5">
        <v>87.7</v>
      </c>
      <c r="I41" s="5">
        <v>94.8</v>
      </c>
      <c r="J41" s="5">
        <v>95.8</v>
      </c>
      <c r="K41" s="5">
        <v>96.8</v>
      </c>
      <c r="L41" s="5">
        <v>228</v>
      </c>
      <c r="M41" s="5">
        <v>243.5</v>
      </c>
      <c r="N41" s="5">
        <v>330</v>
      </c>
      <c r="O41" s="5">
        <v>193.7</v>
      </c>
      <c r="P41" s="5">
        <v>81.5</v>
      </c>
      <c r="Q41" s="5">
        <v>68.599999999999994</v>
      </c>
      <c r="R41" s="5">
        <v>59.8</v>
      </c>
      <c r="S41" s="5">
        <v>58.2</v>
      </c>
      <c r="T41" s="5">
        <v>43.7</v>
      </c>
      <c r="U41" s="5">
        <v>43.7</v>
      </c>
      <c r="V41" s="5">
        <v>43.7</v>
      </c>
      <c r="W41" s="5">
        <v>43.1</v>
      </c>
      <c r="X41" s="5">
        <v>43.1</v>
      </c>
      <c r="Y41" s="5">
        <v>43.1</v>
      </c>
    </row>
    <row r="42" spans="1:25">
      <c r="A42" s="5">
        <v>1972</v>
      </c>
      <c r="B42" s="5">
        <v>7</v>
      </c>
      <c r="C42" s="6">
        <v>313</v>
      </c>
      <c r="E42" s="15" t="s">
        <v>40</v>
      </c>
      <c r="F42" s="15">
        <v>77.2</v>
      </c>
      <c r="G42" s="15">
        <v>77.2</v>
      </c>
      <c r="H42" s="15">
        <v>77.2</v>
      </c>
      <c r="I42" s="15">
        <v>117.7</v>
      </c>
      <c r="J42" s="15">
        <v>117.7</v>
      </c>
      <c r="K42" s="15">
        <v>117.7</v>
      </c>
      <c r="L42" s="15">
        <v>311.8</v>
      </c>
      <c r="M42" s="15">
        <v>208.9</v>
      </c>
      <c r="N42" s="49">
        <v>69.671052631579002</v>
      </c>
      <c r="O42" s="49">
        <v>63.121710526315802</v>
      </c>
      <c r="P42" s="49">
        <v>158.940537634409</v>
      </c>
      <c r="Q42" s="49">
        <v>57.588227513227501</v>
      </c>
      <c r="R42" s="49">
        <v>46.588064516129002</v>
      </c>
      <c r="S42" s="49">
        <v>82.6395402298851</v>
      </c>
      <c r="T42" s="49">
        <v>65.806236559139805</v>
      </c>
      <c r="U42" s="49">
        <v>65.806236559139805</v>
      </c>
      <c r="V42" s="49">
        <v>65.806236559139805</v>
      </c>
      <c r="W42" s="49">
        <v>125.13</v>
      </c>
      <c r="X42" s="49">
        <v>125.13</v>
      </c>
      <c r="Y42" s="49">
        <v>125.13</v>
      </c>
    </row>
    <row r="43" spans="1:25">
      <c r="A43" s="5"/>
      <c r="B43" s="5"/>
      <c r="C43" s="6">
        <v>313</v>
      </c>
      <c r="E43" s="15" t="s">
        <v>41</v>
      </c>
      <c r="F43" s="49">
        <v>242.985698924731</v>
      </c>
      <c r="G43" s="49">
        <v>242.985698924731</v>
      </c>
      <c r="H43" s="49">
        <v>242.985698924731</v>
      </c>
      <c r="I43" s="49">
        <v>276.296774193548</v>
      </c>
      <c r="J43" s="49">
        <v>276.296774193548</v>
      </c>
      <c r="K43" s="49">
        <v>276.296774193548</v>
      </c>
      <c r="L43" s="49">
        <v>280.39999999999998</v>
      </c>
      <c r="M43" s="49">
        <v>179.38236559139801</v>
      </c>
      <c r="N43" s="49">
        <v>85.92</v>
      </c>
      <c r="O43" s="49">
        <v>58.519354838709702</v>
      </c>
      <c r="P43" s="49">
        <v>45.274193548387103</v>
      </c>
      <c r="Q43" s="49">
        <v>41.924137931034501</v>
      </c>
      <c r="R43" s="49">
        <v>54.931935483871001</v>
      </c>
      <c r="S43" s="49">
        <v>85.69</v>
      </c>
      <c r="T43" s="49">
        <v>121.603225806452</v>
      </c>
      <c r="U43" s="49">
        <v>121.603225806452</v>
      </c>
      <c r="V43" s="49">
        <v>121.603225806452</v>
      </c>
      <c r="W43" s="49">
        <v>114.62333333333299</v>
      </c>
      <c r="X43" s="49">
        <v>114.62333333333299</v>
      </c>
      <c r="Y43" s="49">
        <v>114.62333333333299</v>
      </c>
    </row>
    <row r="44" spans="1:25">
      <c r="A44" s="5"/>
      <c r="B44" s="5"/>
      <c r="C44" s="6">
        <v>313</v>
      </c>
      <c r="E44" s="15" t="s">
        <v>42</v>
      </c>
      <c r="F44" s="49">
        <v>301.55161290322599</v>
      </c>
      <c r="G44" s="49">
        <v>301.55161290322599</v>
      </c>
      <c r="H44" s="49">
        <v>301.55161290322599</v>
      </c>
      <c r="I44" s="49">
        <v>403.69677419354798</v>
      </c>
      <c r="J44" s="49">
        <v>403.69677419354798</v>
      </c>
      <c r="K44" s="49">
        <v>403.69677419354798</v>
      </c>
      <c r="L44" s="49">
        <v>276.54333333333301</v>
      </c>
      <c r="M44" s="49">
        <v>169.35806451612899</v>
      </c>
      <c r="N44" s="49">
        <v>70.25</v>
      </c>
      <c r="O44" s="49">
        <v>70.732258064516103</v>
      </c>
      <c r="P44" s="49">
        <v>46.362150537634399</v>
      </c>
      <c r="Q44" s="49">
        <v>48.207142857142898</v>
      </c>
      <c r="R44" s="49">
        <v>53.496451612903201</v>
      </c>
      <c r="S44" s="49">
        <v>52.057333333333297</v>
      </c>
      <c r="T44" s="49">
        <v>67.458064516128999</v>
      </c>
      <c r="U44" s="49">
        <v>67.458064516128999</v>
      </c>
      <c r="V44" s="49">
        <v>67.458064516128999</v>
      </c>
      <c r="W44" s="49">
        <v>148.256666666667</v>
      </c>
      <c r="X44" s="49">
        <v>148.256666666667</v>
      </c>
      <c r="Y44" s="49">
        <v>148.256666666667</v>
      </c>
    </row>
    <row r="45" spans="1:25">
      <c r="A45" s="5"/>
      <c r="B45" s="5">
        <v>8</v>
      </c>
      <c r="C45" s="6">
        <v>277</v>
      </c>
      <c r="E45" s="15" t="s">
        <v>43</v>
      </c>
      <c r="F45" s="49">
        <v>275.16451612903199</v>
      </c>
      <c r="G45" s="49">
        <v>275.16451612903199</v>
      </c>
      <c r="H45" s="49">
        <v>275.16451612903199</v>
      </c>
      <c r="I45" s="49">
        <v>251.624516129032</v>
      </c>
      <c r="J45" s="49">
        <v>251.624516129032</v>
      </c>
      <c r="K45" s="49">
        <v>251.624516129032</v>
      </c>
      <c r="L45" s="49">
        <v>250.15666666666701</v>
      </c>
      <c r="M45" s="49">
        <v>266.71935483870999</v>
      </c>
      <c r="N45" s="49">
        <v>76.12</v>
      </c>
      <c r="O45" s="49">
        <v>71.198709677419401</v>
      </c>
      <c r="P45" s="49">
        <v>44.774193548387103</v>
      </c>
      <c r="Q45" s="49">
        <v>41.970529100529099</v>
      </c>
      <c r="R45" s="49">
        <v>34.635322580645202</v>
      </c>
      <c r="S45" s="49">
        <v>67.334333333333305</v>
      </c>
      <c r="T45" s="49">
        <v>65.039677419354803</v>
      </c>
      <c r="U45" s="49">
        <v>65.039677419354803</v>
      </c>
      <c r="V45" s="49">
        <v>65.039677419354803</v>
      </c>
      <c r="W45" s="49">
        <v>121.621666666667</v>
      </c>
      <c r="X45" s="49">
        <v>121.621666666667</v>
      </c>
      <c r="Y45" s="49">
        <v>121.621666666667</v>
      </c>
    </row>
    <row r="46" spans="1:25">
      <c r="A46" s="5"/>
      <c r="B46" s="5"/>
      <c r="C46" s="6">
        <v>277</v>
      </c>
      <c r="E46" s="15" t="s">
        <v>44</v>
      </c>
      <c r="F46" s="49">
        <v>196.896774193548</v>
      </c>
      <c r="G46" s="49">
        <v>196.896774193548</v>
      </c>
      <c r="H46" s="49">
        <v>196.896774193548</v>
      </c>
      <c r="I46" s="49">
        <v>263.22258064516097</v>
      </c>
      <c r="J46" s="49">
        <v>263.22258064516097</v>
      </c>
      <c r="K46" s="49">
        <v>263.22258064516097</v>
      </c>
      <c r="L46" s="49">
        <v>284.98333333333301</v>
      </c>
      <c r="M46" s="49">
        <v>184.62580645161299</v>
      </c>
      <c r="N46" s="49">
        <v>119.64</v>
      </c>
      <c r="O46" s="49">
        <v>85.4258064516129</v>
      </c>
      <c r="P46" s="49">
        <v>77.475870967741898</v>
      </c>
      <c r="Q46" s="49">
        <v>59.753979018427302</v>
      </c>
      <c r="R46" s="49">
        <v>55.889064516128997</v>
      </c>
      <c r="S46" s="49">
        <v>68.763000000000005</v>
      </c>
      <c r="T46" s="49">
        <v>83.444064516129004</v>
      </c>
      <c r="U46" s="49">
        <v>83.444064516129004</v>
      </c>
      <c r="V46" s="49">
        <v>83.444064516129004</v>
      </c>
      <c r="W46" s="49">
        <v>117.887666666667</v>
      </c>
      <c r="X46" s="49">
        <v>117.887666666667</v>
      </c>
      <c r="Y46" s="49">
        <v>117.887666666667</v>
      </c>
    </row>
    <row r="47" spans="1:25">
      <c r="A47" s="5"/>
      <c r="B47" s="5"/>
      <c r="C47" s="6">
        <v>277</v>
      </c>
      <c r="E47" s="15" t="s">
        <v>45</v>
      </c>
      <c r="F47" s="49">
        <v>239.176774193548</v>
      </c>
      <c r="G47" s="49">
        <v>239.176774193548</v>
      </c>
      <c r="H47" s="49">
        <v>239.176774193548</v>
      </c>
      <c r="I47" s="49">
        <v>251.69096774193599</v>
      </c>
      <c r="J47" s="49">
        <v>251.69096774193599</v>
      </c>
      <c r="K47" s="49">
        <v>251.69096774193599</v>
      </c>
      <c r="L47" s="49">
        <v>255.59933333333299</v>
      </c>
      <c r="M47" s="49">
        <v>163.80516129032301</v>
      </c>
      <c r="N47" s="49">
        <v>84.861999999999995</v>
      </c>
      <c r="O47" s="49">
        <v>79.329032258064501</v>
      </c>
      <c r="P47" s="49">
        <v>65.387096774193594</v>
      </c>
      <c r="Q47" s="49">
        <v>44.731034482758602</v>
      </c>
      <c r="R47" s="49">
        <v>46.832258064516097</v>
      </c>
      <c r="S47" s="49">
        <v>79.323333333333295</v>
      </c>
      <c r="T47" s="49">
        <v>91.5741935483871</v>
      </c>
      <c r="U47" s="49">
        <v>91.5741935483871</v>
      </c>
      <c r="V47" s="49">
        <v>91.5741935483871</v>
      </c>
      <c r="W47" s="49">
        <v>83.283333333333303</v>
      </c>
      <c r="X47" s="49">
        <v>83.283333333333303</v>
      </c>
      <c r="Y47" s="49">
        <v>83.283333333333303</v>
      </c>
    </row>
    <row r="48" spans="1:25">
      <c r="A48" s="5"/>
      <c r="B48" s="5">
        <v>9</v>
      </c>
      <c r="C48" s="6">
        <v>195</v>
      </c>
      <c r="E48" s="50" t="s">
        <v>119</v>
      </c>
      <c r="F48" s="51">
        <v>153.694444444444</v>
      </c>
      <c r="G48" s="51">
        <v>153.694444444444</v>
      </c>
      <c r="H48" s="51">
        <v>153.694444444444</v>
      </c>
      <c r="I48" s="51">
        <v>225.56871865025099</v>
      </c>
      <c r="J48" s="51">
        <v>225.56871865025099</v>
      </c>
      <c r="K48" s="51">
        <v>225.56871865025099</v>
      </c>
      <c r="L48" s="51">
        <v>343.07614035087801</v>
      </c>
      <c r="M48" s="51">
        <v>143.79959677419399</v>
      </c>
      <c r="N48" s="51">
        <v>110.366666666667</v>
      </c>
      <c r="O48" s="51">
        <v>97.2958669354839</v>
      </c>
      <c r="P48" s="51">
        <v>80.341935483870898</v>
      </c>
      <c r="Q48" s="51">
        <v>73.859523809523793</v>
      </c>
      <c r="R48" s="51">
        <v>83.529032258064504</v>
      </c>
      <c r="S48" s="51">
        <v>79.817916666666704</v>
      </c>
      <c r="T48" s="51">
        <v>141.60241935483899</v>
      </c>
      <c r="U48" s="51">
        <v>141.60241935483899</v>
      </c>
      <c r="V48" s="51">
        <v>141.60241935483899</v>
      </c>
      <c r="W48" s="51">
        <v>203.53137254902001</v>
      </c>
      <c r="X48" s="51">
        <v>203.53137254902001</v>
      </c>
      <c r="Y48" s="51">
        <v>203.53137254902001</v>
      </c>
    </row>
    <row r="49" spans="1:25">
      <c r="A49" s="5"/>
      <c r="B49" s="5">
        <v>10</v>
      </c>
      <c r="C49" s="6">
        <v>112</v>
      </c>
      <c r="E49" s="50" t="s">
        <v>120</v>
      </c>
      <c r="F49" s="51">
        <v>151.26829268292701</v>
      </c>
      <c r="G49" s="51">
        <v>151.26829268292701</v>
      </c>
      <c r="H49" s="51">
        <v>151.26829268292701</v>
      </c>
      <c r="I49" s="51">
        <v>249.04005813953501</v>
      </c>
      <c r="J49" s="51">
        <v>249.04005813953501</v>
      </c>
      <c r="K49" s="51">
        <v>249.04005813953501</v>
      </c>
      <c r="L49" s="51">
        <v>310.012229102167</v>
      </c>
      <c r="M49" s="51">
        <v>202.69243697479001</v>
      </c>
      <c r="N49" s="51">
        <v>135.365376344086</v>
      </c>
      <c r="O49" s="51">
        <v>118.379579831933</v>
      </c>
      <c r="P49" s="51">
        <v>70.523039215686197</v>
      </c>
      <c r="Q49" s="51">
        <v>61.56</v>
      </c>
      <c r="R49" s="51">
        <v>73.963636363636397</v>
      </c>
      <c r="S49" s="51">
        <v>126.70615530303</v>
      </c>
      <c r="T49" s="51">
        <v>113.787878787879</v>
      </c>
      <c r="U49" s="51">
        <v>113.787878787879</v>
      </c>
      <c r="V49" s="51">
        <v>113.787878787879</v>
      </c>
      <c r="W49" s="51">
        <v>105.99055258467</v>
      </c>
      <c r="X49" s="51">
        <v>105.99055258467</v>
      </c>
      <c r="Y49" s="51">
        <v>105.99055258467</v>
      </c>
    </row>
    <row r="50" spans="1:25">
      <c r="A50" s="5"/>
      <c r="B50" s="5">
        <v>11</v>
      </c>
      <c r="C50" s="6">
        <v>61</v>
      </c>
      <c r="E50" s="50" t="s">
        <v>121</v>
      </c>
      <c r="F50" s="51">
        <v>240.74792663476899</v>
      </c>
      <c r="G50" s="51">
        <v>240.74792663476899</v>
      </c>
      <c r="H50" s="51">
        <v>240.74792663476899</v>
      </c>
      <c r="I50" s="51">
        <v>418.08859649122797</v>
      </c>
      <c r="J50" s="51">
        <v>418.08859649122797</v>
      </c>
      <c r="K50" s="51">
        <v>418.08859649122797</v>
      </c>
      <c r="L50" s="51">
        <v>467.979047619048</v>
      </c>
      <c r="M50" s="51">
        <v>212.18236486486501</v>
      </c>
      <c r="N50" s="51">
        <v>158.469153225806</v>
      </c>
      <c r="O50" s="51">
        <v>129.23180147058801</v>
      </c>
      <c r="P50" s="51">
        <v>103.312706766917</v>
      </c>
      <c r="Q50" s="51">
        <v>92.029325513196397</v>
      </c>
      <c r="R50" s="51">
        <v>80.360933660933696</v>
      </c>
      <c r="S50" s="51">
        <v>114.54568764568801</v>
      </c>
      <c r="T50" s="51">
        <v>128.338383838384</v>
      </c>
      <c r="U50" s="51">
        <v>128.338383838384</v>
      </c>
      <c r="V50" s="51">
        <v>128.338383838384</v>
      </c>
      <c r="W50" s="51">
        <v>258.59055555555602</v>
      </c>
      <c r="X50" s="51">
        <v>258.59055555555602</v>
      </c>
      <c r="Y50" s="51">
        <v>258.59055555555602</v>
      </c>
    </row>
    <row r="51" spans="1:25">
      <c r="A51" s="5"/>
      <c r="B51" s="5">
        <v>12</v>
      </c>
      <c r="C51" s="6">
        <v>48</v>
      </c>
      <c r="E51" s="50" t="s">
        <v>122</v>
      </c>
      <c r="F51" s="51">
        <v>285.82666666666699</v>
      </c>
      <c r="G51" s="51">
        <v>285.82666666666699</v>
      </c>
      <c r="H51" s="51">
        <v>285.82666666666699</v>
      </c>
      <c r="I51" s="51">
        <v>250.71573187414501</v>
      </c>
      <c r="J51" s="51">
        <v>250.71573187414501</v>
      </c>
      <c r="K51" s="51">
        <v>250.71573187414501</v>
      </c>
      <c r="L51" s="51">
        <v>347.44663865546198</v>
      </c>
      <c r="M51" s="51">
        <v>232.61317972350199</v>
      </c>
      <c r="N51" s="51">
        <v>160.15888888888901</v>
      </c>
      <c r="O51" s="51">
        <v>124.382637571158</v>
      </c>
      <c r="P51" s="51">
        <v>90.490624999999994</v>
      </c>
      <c r="Q51" s="51">
        <v>83.471149425287393</v>
      </c>
      <c r="R51" s="51">
        <v>96.393276515151499</v>
      </c>
      <c r="S51" s="51">
        <v>123.935197368421</v>
      </c>
      <c r="T51" s="51">
        <v>139.30340909090901</v>
      </c>
      <c r="U51" s="51">
        <v>139.30340909090901</v>
      </c>
      <c r="V51" s="51">
        <v>139.30340909090901</v>
      </c>
      <c r="W51" s="51">
        <v>156.08446428571401</v>
      </c>
      <c r="X51" s="51">
        <v>156.08446428571401</v>
      </c>
      <c r="Y51" s="51">
        <v>156.08446428571401</v>
      </c>
    </row>
    <row r="52" spans="1:25">
      <c r="A52" s="5"/>
      <c r="B52" s="5">
        <v>1</v>
      </c>
      <c r="C52" s="6">
        <v>36</v>
      </c>
      <c r="E52" s="50" t="s">
        <v>123</v>
      </c>
      <c r="F52" s="51">
        <v>213.31941176470599</v>
      </c>
      <c r="G52" s="51">
        <v>213.31941176470599</v>
      </c>
      <c r="H52" s="51">
        <v>213.31941176470599</v>
      </c>
      <c r="I52" s="51">
        <v>336.82142857142901</v>
      </c>
      <c r="J52" s="51">
        <v>336.82142857142901</v>
      </c>
      <c r="K52" s="51">
        <v>336.82142857142901</v>
      </c>
      <c r="L52" s="51">
        <v>342.59411764705902</v>
      </c>
      <c r="M52" s="51">
        <v>264.13908918406099</v>
      </c>
      <c r="N52" s="51">
        <v>162.72022058823501</v>
      </c>
      <c r="O52" s="51">
        <v>131.45934046345801</v>
      </c>
      <c r="P52" s="51">
        <v>81.011774891774905</v>
      </c>
      <c r="Q52" s="51">
        <f>Q51+33.6387096774194</f>
        <v>117.10985910270679</v>
      </c>
      <c r="R52" s="51">
        <v>56.940469208211198</v>
      </c>
      <c r="S52" s="51">
        <v>107.66441837732199</v>
      </c>
      <c r="T52" s="51">
        <v>138.98993055555599</v>
      </c>
      <c r="U52" s="51">
        <v>138.98993055555599</v>
      </c>
      <c r="V52" s="51">
        <v>138.98993055555599</v>
      </c>
      <c r="W52" s="51">
        <v>136.47821969697</v>
      </c>
      <c r="X52" s="51">
        <v>136.47821969697</v>
      </c>
      <c r="Y52" s="51">
        <v>136.47821969697</v>
      </c>
    </row>
    <row r="53" spans="1:25">
      <c r="A53" s="5"/>
      <c r="B53" s="5">
        <v>2</v>
      </c>
      <c r="C53" s="6">
        <v>42</v>
      </c>
      <c r="E53" s="50" t="s">
        <v>124</v>
      </c>
      <c r="F53" s="51">
        <v>182.412063282795</v>
      </c>
      <c r="G53" s="51">
        <v>182.412063282795</v>
      </c>
      <c r="H53" s="51">
        <v>182.412063282795</v>
      </c>
      <c r="I53" s="51">
        <v>169.85853889942999</v>
      </c>
      <c r="J53" s="51">
        <v>169.85853889942999</v>
      </c>
      <c r="K53" s="51">
        <v>169.85853889942999</v>
      </c>
      <c r="L53" s="51">
        <v>232.757401315789</v>
      </c>
      <c r="M53" s="51">
        <v>177.018279569892</v>
      </c>
      <c r="N53" s="51">
        <v>112.764012096774</v>
      </c>
      <c r="O53" s="51">
        <v>96.403503787878805</v>
      </c>
      <c r="P53" s="51">
        <v>70.383639705882302</v>
      </c>
      <c r="Q53" s="51">
        <v>56.367857142857098</v>
      </c>
      <c r="R53" s="51">
        <v>63.975201612903199</v>
      </c>
      <c r="S53" s="51">
        <v>90.312903225806494</v>
      </c>
      <c r="T53" s="51">
        <v>132.845404411765</v>
      </c>
      <c r="U53" s="51">
        <v>132.845404411765</v>
      </c>
      <c r="V53" s="51">
        <v>132.845404411765</v>
      </c>
      <c r="W53" s="51">
        <v>124.683939393939</v>
      </c>
      <c r="X53" s="51">
        <v>124.683939393939</v>
      </c>
      <c r="Y53" s="51">
        <v>124.683939393939</v>
      </c>
    </row>
    <row r="54" spans="1:25">
      <c r="A54" s="5"/>
      <c r="B54" s="5">
        <v>3</v>
      </c>
      <c r="C54" s="6">
        <v>37</v>
      </c>
      <c r="E54" s="50" t="s">
        <v>125</v>
      </c>
      <c r="F54" s="51">
        <v>142.61134199134199</v>
      </c>
      <c r="G54" s="51">
        <v>142.61134199134199</v>
      </c>
      <c r="H54" s="51">
        <v>142.61134199134199</v>
      </c>
      <c r="I54" s="51">
        <v>551.55066964285697</v>
      </c>
      <c r="J54" s="51">
        <v>551.55066964285697</v>
      </c>
      <c r="K54" s="51">
        <v>551.55066964285697</v>
      </c>
      <c r="L54" s="51">
        <v>594.47195858498696</v>
      </c>
      <c r="M54" s="51">
        <v>194.05178571428601</v>
      </c>
      <c r="N54" s="51">
        <v>135.42649071358699</v>
      </c>
      <c r="O54" s="51">
        <v>128.59240986717299</v>
      </c>
      <c r="P54" s="51">
        <v>70.211680672268997</v>
      </c>
      <c r="Q54" s="51">
        <v>73.346666666666707</v>
      </c>
      <c r="R54" s="51">
        <v>60.816249999999997</v>
      </c>
      <c r="S54" s="51">
        <v>64.610123106060598</v>
      </c>
      <c r="T54" s="51">
        <v>120.55312499999999</v>
      </c>
      <c r="U54" s="51">
        <v>120.55312499999999</v>
      </c>
      <c r="V54" s="51">
        <v>120.55312499999999</v>
      </c>
      <c r="W54" s="51">
        <v>132.77310924369701</v>
      </c>
      <c r="X54" s="51">
        <v>132.77310924369701</v>
      </c>
      <c r="Y54" s="51">
        <v>132.77310924369701</v>
      </c>
    </row>
    <row r="55" spans="1:25">
      <c r="A55" s="5"/>
      <c r="B55" s="5">
        <v>4</v>
      </c>
      <c r="C55" s="6">
        <v>49</v>
      </c>
      <c r="E55" s="50" t="s">
        <v>126</v>
      </c>
      <c r="F55" s="51">
        <v>138.30573549257801</v>
      </c>
      <c r="G55" s="51">
        <v>138.30573549257801</v>
      </c>
      <c r="H55" s="51">
        <v>138.30573549257801</v>
      </c>
      <c r="I55" s="51">
        <v>122.50949705725</v>
      </c>
      <c r="J55" s="51">
        <v>122.50949705725</v>
      </c>
      <c r="K55" s="51">
        <v>122.50949705725</v>
      </c>
      <c r="L55" s="51">
        <v>147.16722555794701</v>
      </c>
      <c r="M55" s="51">
        <v>152.258410087719</v>
      </c>
      <c r="N55" s="51">
        <f>N54+37.9606741573034</f>
        <v>173.38716487089039</v>
      </c>
      <c r="O55" s="51">
        <v>77.049932090381603</v>
      </c>
      <c r="P55" s="51">
        <v>61.048453608247399</v>
      </c>
      <c r="Q55" s="51">
        <v>55.015231295552603</v>
      </c>
      <c r="R55" s="51">
        <v>42.268610939622199</v>
      </c>
      <c r="S55" s="51">
        <v>66.8378804902963</v>
      </c>
      <c r="T55" s="51">
        <v>90.5</v>
      </c>
      <c r="U55" s="51">
        <v>90.5</v>
      </c>
      <c r="V55" s="51">
        <v>90.5</v>
      </c>
      <c r="W55" s="51">
        <v>144.57039426523301</v>
      </c>
      <c r="X55" s="51">
        <v>144.57039426523301</v>
      </c>
      <c r="Y55" s="51">
        <v>144.57039426523301</v>
      </c>
    </row>
    <row r="56" spans="1:25">
      <c r="A56" s="5"/>
      <c r="B56" s="5">
        <v>5</v>
      </c>
      <c r="C56" s="6">
        <v>91</v>
      </c>
    </row>
    <row r="57" spans="1:25">
      <c r="A57" s="5"/>
      <c r="B57" s="5"/>
      <c r="C57" s="6">
        <v>91</v>
      </c>
    </row>
    <row r="58" spans="1:25">
      <c r="A58" s="5"/>
      <c r="B58" s="5"/>
      <c r="C58" s="6">
        <v>91</v>
      </c>
    </row>
    <row r="59" spans="1:25">
      <c r="A59" s="5"/>
      <c r="B59" s="5">
        <v>6</v>
      </c>
      <c r="C59" s="6">
        <v>126</v>
      </c>
    </row>
    <row r="60" spans="1:25">
      <c r="A60" s="5"/>
      <c r="B60" s="5"/>
      <c r="C60" s="6">
        <v>126</v>
      </c>
    </row>
    <row r="61" spans="1:25">
      <c r="A61" s="5"/>
      <c r="B61" s="5"/>
      <c r="C61" s="6">
        <v>126</v>
      </c>
    </row>
    <row r="62" spans="1:25">
      <c r="A62" s="5">
        <v>1973</v>
      </c>
      <c r="B62" s="5">
        <v>7</v>
      </c>
      <c r="C62" s="6">
        <v>159</v>
      </c>
    </row>
    <row r="63" spans="1:25">
      <c r="A63" s="5"/>
      <c r="B63" s="5"/>
      <c r="C63" s="6">
        <v>159</v>
      </c>
    </row>
    <row r="64" spans="1:25">
      <c r="A64" s="5"/>
      <c r="B64" s="5"/>
      <c r="C64" s="6">
        <v>159</v>
      </c>
    </row>
    <row r="65" spans="1:3">
      <c r="A65" s="5"/>
      <c r="B65" s="5">
        <v>8</v>
      </c>
      <c r="C65" s="6">
        <v>198</v>
      </c>
    </row>
    <row r="66" spans="1:3">
      <c r="A66" s="5"/>
      <c r="B66" s="5"/>
      <c r="C66" s="6">
        <v>198</v>
      </c>
    </row>
    <row r="67" spans="1:3">
      <c r="A67" s="5"/>
      <c r="B67" s="5"/>
      <c r="C67" s="6">
        <v>198</v>
      </c>
    </row>
    <row r="68" spans="1:3">
      <c r="A68" s="5"/>
      <c r="B68" s="5">
        <v>9</v>
      </c>
      <c r="C68" s="6">
        <v>185</v>
      </c>
    </row>
    <row r="69" spans="1:3">
      <c r="A69" s="5"/>
      <c r="B69" s="5">
        <v>10</v>
      </c>
      <c r="C69" s="6">
        <v>158</v>
      </c>
    </row>
    <row r="70" spans="1:3">
      <c r="A70" s="5"/>
      <c r="B70" s="5">
        <v>11</v>
      </c>
      <c r="C70" s="6">
        <v>73</v>
      </c>
    </row>
    <row r="71" spans="1:3">
      <c r="A71" s="5"/>
      <c r="B71" s="5">
        <v>12</v>
      </c>
      <c r="C71" s="6">
        <v>46</v>
      </c>
    </row>
    <row r="72" spans="1:3">
      <c r="A72" s="5"/>
      <c r="B72" s="5">
        <v>1</v>
      </c>
      <c r="C72" s="6">
        <v>34</v>
      </c>
    </row>
    <row r="73" spans="1:3">
      <c r="A73" s="5"/>
      <c r="B73" s="5">
        <v>2</v>
      </c>
      <c r="C73" s="6">
        <v>35</v>
      </c>
    </row>
    <row r="74" spans="1:3">
      <c r="A74" s="5"/>
      <c r="B74" s="5">
        <v>3</v>
      </c>
      <c r="C74" s="6">
        <v>45</v>
      </c>
    </row>
    <row r="75" spans="1:3">
      <c r="A75" s="5"/>
      <c r="B75" s="5">
        <v>4</v>
      </c>
      <c r="C75" s="6">
        <v>105</v>
      </c>
    </row>
    <row r="76" spans="1:3">
      <c r="A76" s="5"/>
      <c r="B76" s="5">
        <v>5</v>
      </c>
      <c r="C76" s="6">
        <v>141</v>
      </c>
    </row>
    <row r="77" spans="1:3">
      <c r="A77" s="5"/>
      <c r="B77" s="5"/>
      <c r="C77" s="6">
        <v>141</v>
      </c>
    </row>
    <row r="78" spans="1:3">
      <c r="A78" s="5"/>
      <c r="B78" s="5"/>
      <c r="C78" s="6">
        <v>141</v>
      </c>
    </row>
    <row r="79" spans="1:3">
      <c r="A79" s="5"/>
      <c r="B79" s="5">
        <v>6</v>
      </c>
      <c r="C79" s="6">
        <v>100</v>
      </c>
    </row>
    <row r="80" spans="1:3">
      <c r="A80" s="5"/>
      <c r="B80" s="5"/>
      <c r="C80" s="6">
        <v>100</v>
      </c>
    </row>
    <row r="81" spans="1:3">
      <c r="A81" s="5"/>
      <c r="B81" s="5"/>
      <c r="C81" s="6">
        <v>100</v>
      </c>
    </row>
    <row r="82" spans="1:3">
      <c r="A82" s="5">
        <v>1974</v>
      </c>
      <c r="B82" s="5">
        <v>7</v>
      </c>
      <c r="C82" s="6">
        <v>224</v>
      </c>
    </row>
    <row r="83" spans="1:3">
      <c r="A83" s="5"/>
      <c r="B83" s="5"/>
      <c r="C83" s="6">
        <v>224</v>
      </c>
    </row>
    <row r="84" spans="1:3">
      <c r="A84" s="5"/>
      <c r="B84" s="5"/>
      <c r="C84" s="6">
        <v>224</v>
      </c>
    </row>
    <row r="85" spans="1:3">
      <c r="A85" s="5"/>
      <c r="B85" s="5">
        <v>8</v>
      </c>
      <c r="C85" s="6">
        <v>287</v>
      </c>
    </row>
    <row r="86" spans="1:3">
      <c r="A86" s="5"/>
      <c r="B86" s="5"/>
      <c r="C86" s="6">
        <v>287</v>
      </c>
    </row>
    <row r="87" spans="1:3">
      <c r="A87" s="5"/>
      <c r="B87" s="5"/>
      <c r="C87" s="6">
        <v>287</v>
      </c>
    </row>
    <row r="88" spans="1:3">
      <c r="A88" s="5"/>
      <c r="B88" s="5">
        <v>9</v>
      </c>
      <c r="C88" s="6">
        <v>276</v>
      </c>
    </row>
    <row r="89" spans="1:3">
      <c r="A89" s="5"/>
      <c r="B89" s="5">
        <v>10</v>
      </c>
      <c r="C89" s="6">
        <v>155</v>
      </c>
    </row>
    <row r="90" spans="1:3">
      <c r="A90" s="5"/>
      <c r="B90" s="5">
        <v>11</v>
      </c>
      <c r="C90" s="6">
        <v>68</v>
      </c>
    </row>
    <row r="91" spans="1:3">
      <c r="A91" s="5"/>
      <c r="B91" s="5">
        <v>12</v>
      </c>
      <c r="C91" s="6">
        <v>49</v>
      </c>
    </row>
    <row r="92" spans="1:3">
      <c r="A92" s="5"/>
      <c r="B92" s="5">
        <v>1</v>
      </c>
      <c r="C92" s="6">
        <v>33</v>
      </c>
    </row>
    <row r="93" spans="1:3">
      <c r="A93" s="5"/>
      <c r="B93" s="5">
        <v>2</v>
      </c>
      <c r="C93" s="6">
        <v>35</v>
      </c>
    </row>
    <row r="94" spans="1:3">
      <c r="A94" s="5"/>
      <c r="B94" s="5">
        <v>3</v>
      </c>
      <c r="C94" s="6">
        <v>39</v>
      </c>
    </row>
    <row r="95" spans="1:3">
      <c r="A95" s="5"/>
      <c r="B95" s="5">
        <v>4</v>
      </c>
      <c r="C95" s="6">
        <v>53</v>
      </c>
    </row>
    <row r="96" spans="1:3">
      <c r="A96" s="5"/>
      <c r="B96" s="5">
        <v>5</v>
      </c>
      <c r="C96" s="6">
        <v>106</v>
      </c>
    </row>
    <row r="97" spans="1:3">
      <c r="A97" s="5"/>
      <c r="B97" s="5"/>
      <c r="C97" s="6">
        <v>106</v>
      </c>
    </row>
    <row r="98" spans="1:3">
      <c r="A98" s="5"/>
      <c r="B98" s="5"/>
      <c r="C98" s="6">
        <v>106</v>
      </c>
    </row>
    <row r="99" spans="1:3">
      <c r="A99" s="5"/>
      <c r="B99" s="5">
        <v>6</v>
      </c>
      <c r="C99" s="6">
        <v>205</v>
      </c>
    </row>
    <row r="100" spans="1:3">
      <c r="A100" s="5"/>
      <c r="B100" s="5"/>
      <c r="C100" s="6">
        <v>205</v>
      </c>
    </row>
    <row r="101" spans="1:3">
      <c r="A101" s="5"/>
      <c r="B101" s="5"/>
      <c r="C101" s="6">
        <v>205</v>
      </c>
    </row>
    <row r="102" spans="1:3">
      <c r="A102" s="5">
        <v>1975</v>
      </c>
      <c r="B102" s="5">
        <v>7</v>
      </c>
      <c r="C102" s="6">
        <v>334</v>
      </c>
    </row>
    <row r="103" spans="1:3">
      <c r="A103" s="5"/>
      <c r="B103" s="5"/>
      <c r="C103" s="6">
        <v>334</v>
      </c>
    </row>
    <row r="104" spans="1:3">
      <c r="A104" s="5"/>
      <c r="B104" s="5"/>
      <c r="C104" s="6">
        <v>334</v>
      </c>
    </row>
    <row r="105" spans="1:3">
      <c r="A105" s="5"/>
      <c r="B105" s="5">
        <v>8</v>
      </c>
      <c r="C105" s="6">
        <v>191</v>
      </c>
    </row>
    <row r="106" spans="1:3">
      <c r="A106" s="5"/>
      <c r="B106" s="5"/>
      <c r="C106" s="6">
        <v>191</v>
      </c>
    </row>
    <row r="107" spans="1:3">
      <c r="A107" s="5"/>
      <c r="B107" s="5"/>
      <c r="C107" s="6">
        <v>191</v>
      </c>
    </row>
    <row r="108" spans="1:3">
      <c r="A108" s="5"/>
      <c r="B108" s="5">
        <v>9</v>
      </c>
      <c r="C108" s="6">
        <v>265</v>
      </c>
    </row>
    <row r="109" spans="1:3">
      <c r="A109" s="5"/>
      <c r="B109" s="5">
        <v>10</v>
      </c>
      <c r="C109" s="6">
        <v>242</v>
      </c>
    </row>
    <row r="110" spans="1:3">
      <c r="A110" s="5"/>
      <c r="B110" s="5">
        <v>11</v>
      </c>
      <c r="C110" s="6">
        <v>102</v>
      </c>
    </row>
    <row r="111" spans="1:3">
      <c r="A111" s="5"/>
      <c r="B111" s="5">
        <v>12</v>
      </c>
      <c r="C111" s="6">
        <v>50</v>
      </c>
    </row>
    <row r="112" spans="1:3">
      <c r="A112" s="5"/>
      <c r="B112" s="5">
        <v>1</v>
      </c>
      <c r="C112" s="6">
        <v>40</v>
      </c>
    </row>
    <row r="113" spans="1:3">
      <c r="A113" s="5"/>
      <c r="B113" s="5">
        <v>2</v>
      </c>
      <c r="C113" s="6">
        <v>44</v>
      </c>
    </row>
    <row r="114" spans="1:3">
      <c r="A114" s="5"/>
      <c r="B114" s="5">
        <v>3</v>
      </c>
      <c r="C114" s="6">
        <v>61</v>
      </c>
    </row>
    <row r="115" spans="1:3">
      <c r="A115" s="5"/>
      <c r="B115" s="5">
        <v>4</v>
      </c>
      <c r="C115" s="6">
        <v>96</v>
      </c>
    </row>
    <row r="116" spans="1:3">
      <c r="A116" s="5"/>
      <c r="B116" s="5">
        <v>5</v>
      </c>
      <c r="C116" s="6">
        <v>93</v>
      </c>
    </row>
    <row r="117" spans="1:3">
      <c r="A117" s="5"/>
      <c r="B117" s="5"/>
      <c r="C117" s="6">
        <v>93</v>
      </c>
    </row>
    <row r="118" spans="1:3">
      <c r="A118" s="5"/>
      <c r="B118" s="5"/>
      <c r="C118" s="6">
        <v>93</v>
      </c>
    </row>
    <row r="119" spans="1:3">
      <c r="A119" s="5"/>
      <c r="B119" s="5">
        <v>6</v>
      </c>
      <c r="C119" s="6">
        <v>186</v>
      </c>
    </row>
    <row r="120" spans="1:3">
      <c r="A120" s="5"/>
      <c r="B120" s="5"/>
      <c r="C120" s="6">
        <v>186</v>
      </c>
    </row>
    <row r="121" spans="1:3">
      <c r="A121" s="5"/>
      <c r="B121" s="5"/>
      <c r="C121" s="6">
        <v>186</v>
      </c>
    </row>
    <row r="122" spans="1:3">
      <c r="A122" s="5">
        <v>1976</v>
      </c>
      <c r="B122" s="5">
        <v>7</v>
      </c>
      <c r="C122" s="6">
        <v>263</v>
      </c>
    </row>
    <row r="123" spans="1:3">
      <c r="A123" s="5"/>
      <c r="B123" s="5"/>
      <c r="C123" s="6">
        <v>263</v>
      </c>
    </row>
    <row r="124" spans="1:3">
      <c r="A124" s="5"/>
      <c r="B124" s="5"/>
      <c r="C124" s="6">
        <v>263</v>
      </c>
    </row>
    <row r="125" spans="1:3">
      <c r="A125" s="5"/>
      <c r="B125" s="5">
        <v>8</v>
      </c>
      <c r="C125" s="6">
        <v>458</v>
      </c>
    </row>
    <row r="126" spans="1:3">
      <c r="A126" s="5"/>
      <c r="B126" s="5"/>
      <c r="C126" s="6">
        <v>458</v>
      </c>
    </row>
    <row r="127" spans="1:3">
      <c r="A127" s="5"/>
      <c r="B127" s="5"/>
      <c r="C127" s="6">
        <v>458</v>
      </c>
    </row>
    <row r="128" spans="1:3">
      <c r="A128" s="5"/>
      <c r="B128" s="5">
        <v>9</v>
      </c>
      <c r="C128" s="6">
        <v>318</v>
      </c>
    </row>
    <row r="129" spans="1:3">
      <c r="A129" s="5"/>
      <c r="B129" s="5">
        <v>10</v>
      </c>
      <c r="C129" s="6">
        <v>185</v>
      </c>
    </row>
    <row r="130" spans="1:3">
      <c r="A130" s="5"/>
      <c r="B130" s="5">
        <v>11</v>
      </c>
      <c r="C130" s="6">
        <v>82</v>
      </c>
    </row>
    <row r="131" spans="1:3">
      <c r="A131" s="5"/>
      <c r="B131" s="5">
        <v>12</v>
      </c>
      <c r="C131" s="6">
        <v>54</v>
      </c>
    </row>
    <row r="132" spans="1:3">
      <c r="A132" s="5"/>
      <c r="B132" s="5">
        <v>1</v>
      </c>
      <c r="C132" s="6">
        <v>41</v>
      </c>
    </row>
    <row r="133" spans="1:3">
      <c r="A133" s="5"/>
      <c r="B133" s="5">
        <v>2</v>
      </c>
      <c r="C133" s="6">
        <v>46</v>
      </c>
    </row>
    <row r="134" spans="1:3">
      <c r="A134" s="5"/>
      <c r="B134" s="5">
        <v>3</v>
      </c>
      <c r="C134" s="6">
        <v>51</v>
      </c>
    </row>
    <row r="135" spans="1:3">
      <c r="A135" s="5"/>
      <c r="B135" s="5">
        <v>4</v>
      </c>
      <c r="C135" s="6">
        <v>78</v>
      </c>
    </row>
    <row r="136" spans="1:3">
      <c r="A136" s="5"/>
      <c r="B136" s="5">
        <v>5</v>
      </c>
      <c r="C136" s="6">
        <v>120</v>
      </c>
    </row>
    <row r="137" spans="1:3">
      <c r="A137" s="5"/>
      <c r="B137" s="5"/>
      <c r="C137" s="6">
        <v>120</v>
      </c>
    </row>
    <row r="138" spans="1:3">
      <c r="A138" s="5"/>
      <c r="B138" s="5"/>
      <c r="C138" s="6">
        <v>120</v>
      </c>
    </row>
    <row r="139" spans="1:3">
      <c r="A139" s="5"/>
      <c r="B139" s="5">
        <v>6</v>
      </c>
      <c r="C139" s="6">
        <v>160</v>
      </c>
    </row>
    <row r="140" spans="1:3">
      <c r="A140" s="5"/>
      <c r="B140" s="5"/>
      <c r="C140" s="6">
        <v>160</v>
      </c>
    </row>
    <row r="141" spans="1:3">
      <c r="A141" s="5"/>
      <c r="B141" s="5"/>
      <c r="C141" s="6">
        <v>160</v>
      </c>
    </row>
    <row r="142" spans="1:3">
      <c r="A142" s="5">
        <v>1977</v>
      </c>
      <c r="B142" s="5">
        <v>7</v>
      </c>
      <c r="C142" s="6">
        <v>202</v>
      </c>
    </row>
    <row r="143" spans="1:3">
      <c r="A143" s="5"/>
      <c r="B143" s="5"/>
      <c r="C143" s="6">
        <v>202</v>
      </c>
    </row>
    <row r="144" spans="1:3">
      <c r="A144" s="5"/>
      <c r="B144" s="5"/>
      <c r="C144" s="6">
        <v>202</v>
      </c>
    </row>
    <row r="145" spans="1:3">
      <c r="A145" s="5"/>
      <c r="B145" s="5">
        <v>8</v>
      </c>
      <c r="C145" s="6">
        <v>284</v>
      </c>
    </row>
    <row r="146" spans="1:3">
      <c r="A146" s="5"/>
      <c r="B146" s="5"/>
      <c r="C146" s="6">
        <v>284</v>
      </c>
    </row>
    <row r="147" spans="1:3">
      <c r="A147" s="5"/>
      <c r="B147" s="5"/>
      <c r="C147" s="6">
        <v>284</v>
      </c>
    </row>
    <row r="148" spans="1:3">
      <c r="A148" s="5"/>
      <c r="B148" s="5">
        <v>9</v>
      </c>
      <c r="C148" s="6">
        <v>203</v>
      </c>
    </row>
    <row r="149" spans="1:3">
      <c r="A149" s="5"/>
      <c r="B149" s="5">
        <v>10</v>
      </c>
      <c r="C149" s="6">
        <v>127</v>
      </c>
    </row>
    <row r="150" spans="1:3">
      <c r="A150" s="5"/>
      <c r="B150" s="5">
        <v>11</v>
      </c>
      <c r="C150" s="6">
        <v>67</v>
      </c>
    </row>
    <row r="151" spans="1:3">
      <c r="A151" s="5"/>
      <c r="B151" s="5">
        <v>12</v>
      </c>
      <c r="C151" s="6">
        <v>55</v>
      </c>
    </row>
    <row r="152" spans="1:3">
      <c r="A152" s="5"/>
      <c r="B152" s="5">
        <v>1</v>
      </c>
      <c r="C152" s="6">
        <v>34</v>
      </c>
    </row>
    <row r="153" spans="1:3">
      <c r="A153" s="5"/>
      <c r="B153" s="5">
        <v>2</v>
      </c>
      <c r="C153" s="6">
        <v>34</v>
      </c>
    </row>
    <row r="154" spans="1:3">
      <c r="A154" s="5"/>
      <c r="B154" s="5">
        <v>3</v>
      </c>
      <c r="C154" s="6">
        <v>47</v>
      </c>
    </row>
    <row r="155" spans="1:3">
      <c r="A155" s="5"/>
      <c r="B155" s="5">
        <v>4</v>
      </c>
      <c r="C155" s="6">
        <v>103</v>
      </c>
    </row>
    <row r="156" spans="1:3">
      <c r="A156" s="5"/>
      <c r="B156" s="5">
        <v>5</v>
      </c>
      <c r="C156" s="6">
        <v>74</v>
      </c>
    </row>
    <row r="157" spans="1:3">
      <c r="A157" s="5"/>
      <c r="B157" s="5"/>
      <c r="C157" s="6">
        <v>74</v>
      </c>
    </row>
    <row r="158" spans="1:3">
      <c r="A158" s="5"/>
      <c r="B158" s="5"/>
      <c r="C158" s="6">
        <v>74</v>
      </c>
    </row>
    <row r="159" spans="1:3">
      <c r="A159" s="5"/>
      <c r="B159" s="5">
        <v>6</v>
      </c>
      <c r="C159" s="6">
        <v>120</v>
      </c>
    </row>
    <row r="160" spans="1:3">
      <c r="A160" s="5"/>
      <c r="B160" s="5"/>
      <c r="C160" s="6">
        <v>120</v>
      </c>
    </row>
    <row r="161" spans="1:3">
      <c r="A161" s="5"/>
      <c r="B161" s="5"/>
      <c r="C161" s="6">
        <v>120</v>
      </c>
    </row>
    <row r="162" spans="1:3">
      <c r="A162" s="5">
        <v>1978</v>
      </c>
      <c r="B162" s="5">
        <v>7</v>
      </c>
      <c r="C162" s="6">
        <v>251</v>
      </c>
    </row>
    <row r="163" spans="1:3">
      <c r="A163" s="5"/>
      <c r="B163" s="5"/>
      <c r="C163" s="6">
        <v>251</v>
      </c>
    </row>
    <row r="164" spans="1:3">
      <c r="A164" s="5"/>
      <c r="B164" s="5"/>
      <c r="C164" s="6">
        <v>251</v>
      </c>
    </row>
    <row r="165" spans="1:3">
      <c r="A165" s="5"/>
      <c r="B165" s="5">
        <v>8</v>
      </c>
      <c r="C165" s="6">
        <v>241</v>
      </c>
    </row>
    <row r="166" spans="1:3">
      <c r="A166" s="5"/>
      <c r="B166" s="5"/>
      <c r="C166" s="6">
        <v>241</v>
      </c>
    </row>
    <row r="167" spans="1:3">
      <c r="A167" s="5"/>
      <c r="B167" s="5"/>
      <c r="C167" s="6">
        <v>241</v>
      </c>
    </row>
    <row r="168" spans="1:3">
      <c r="A168" s="5"/>
      <c r="B168" s="5">
        <v>9</v>
      </c>
      <c r="C168" s="6">
        <v>314</v>
      </c>
    </row>
    <row r="169" spans="1:3">
      <c r="A169" s="5"/>
      <c r="B169" s="5">
        <v>10</v>
      </c>
      <c r="C169" s="6">
        <v>160</v>
      </c>
    </row>
    <row r="170" spans="1:3">
      <c r="A170" s="5"/>
      <c r="B170" s="5">
        <v>11</v>
      </c>
      <c r="C170" s="6">
        <v>86</v>
      </c>
    </row>
    <row r="171" spans="1:3">
      <c r="A171" s="5"/>
      <c r="B171" s="5">
        <v>12</v>
      </c>
      <c r="C171" s="6">
        <v>65</v>
      </c>
    </row>
    <row r="172" spans="1:3">
      <c r="A172" s="5"/>
      <c r="B172" s="5">
        <v>1</v>
      </c>
      <c r="C172" s="6">
        <v>48</v>
      </c>
    </row>
    <row r="173" spans="1:3">
      <c r="A173" s="5"/>
      <c r="B173" s="5">
        <v>2</v>
      </c>
      <c r="C173" s="6">
        <v>45</v>
      </c>
    </row>
    <row r="174" spans="1:3">
      <c r="A174" s="5"/>
      <c r="B174" s="5">
        <v>3</v>
      </c>
      <c r="C174" s="6">
        <v>40</v>
      </c>
    </row>
    <row r="175" spans="1:3">
      <c r="A175" s="5"/>
      <c r="B175" s="5">
        <v>4</v>
      </c>
      <c r="C175" s="6">
        <v>66</v>
      </c>
    </row>
    <row r="176" spans="1:3">
      <c r="A176" s="5"/>
      <c r="B176" s="5">
        <v>5</v>
      </c>
      <c r="C176" s="6">
        <v>48</v>
      </c>
    </row>
    <row r="177" spans="1:3">
      <c r="A177" s="5"/>
      <c r="B177" s="5"/>
      <c r="C177" s="6">
        <v>48</v>
      </c>
    </row>
    <row r="178" spans="1:3">
      <c r="A178" s="5"/>
      <c r="B178" s="5"/>
      <c r="C178" s="6">
        <v>48</v>
      </c>
    </row>
    <row r="179" spans="1:3">
      <c r="A179" s="5"/>
      <c r="B179" s="5">
        <v>6</v>
      </c>
      <c r="C179" s="6">
        <v>50</v>
      </c>
    </row>
    <row r="180" spans="1:3">
      <c r="A180" s="5"/>
      <c r="B180" s="5"/>
      <c r="C180" s="6">
        <v>50</v>
      </c>
    </row>
    <row r="181" spans="1:3">
      <c r="A181" s="5"/>
      <c r="B181" s="5"/>
      <c r="C181" s="6">
        <v>50</v>
      </c>
    </row>
    <row r="182" spans="1:3">
      <c r="A182" s="5">
        <v>1979</v>
      </c>
      <c r="B182" s="5">
        <v>7</v>
      </c>
      <c r="C182" s="6">
        <v>169</v>
      </c>
    </row>
    <row r="183" spans="1:3">
      <c r="A183" s="5"/>
      <c r="B183" s="5"/>
      <c r="C183" s="6">
        <v>169</v>
      </c>
    </row>
    <row r="184" spans="1:3">
      <c r="A184" s="5"/>
      <c r="B184" s="5"/>
      <c r="C184" s="6">
        <v>169</v>
      </c>
    </row>
    <row r="185" spans="1:3">
      <c r="A185" s="5"/>
      <c r="B185" s="5">
        <v>8</v>
      </c>
      <c r="C185" s="6">
        <v>421</v>
      </c>
    </row>
    <row r="186" spans="1:3">
      <c r="A186" s="5"/>
      <c r="B186" s="5"/>
      <c r="C186" s="6">
        <v>421</v>
      </c>
    </row>
    <row r="187" spans="1:3">
      <c r="A187" s="5"/>
      <c r="B187" s="5"/>
      <c r="C187" s="6">
        <v>421</v>
      </c>
    </row>
    <row r="188" spans="1:3">
      <c r="A188" s="5"/>
      <c r="B188" s="5">
        <v>9</v>
      </c>
      <c r="C188" s="6">
        <v>259</v>
      </c>
    </row>
    <row r="189" spans="1:3">
      <c r="A189" s="5"/>
      <c r="B189" s="5">
        <v>10</v>
      </c>
      <c r="C189" s="6">
        <v>180</v>
      </c>
    </row>
    <row r="190" spans="1:3">
      <c r="A190" s="5"/>
      <c r="B190" s="5">
        <v>11</v>
      </c>
      <c r="C190" s="6">
        <v>78</v>
      </c>
    </row>
    <row r="191" spans="1:3">
      <c r="A191" s="5"/>
      <c r="B191" s="5">
        <v>12</v>
      </c>
      <c r="C191" s="6">
        <v>58</v>
      </c>
    </row>
    <row r="192" spans="1:3">
      <c r="A192" s="5"/>
      <c r="B192" s="5">
        <v>1</v>
      </c>
      <c r="C192" s="6">
        <v>39</v>
      </c>
    </row>
    <row r="193" spans="1:3">
      <c r="A193" s="5"/>
      <c r="B193" s="5">
        <v>2</v>
      </c>
      <c r="C193" s="6">
        <v>40</v>
      </c>
    </row>
    <row r="194" spans="1:3">
      <c r="A194" s="5"/>
      <c r="B194" s="5">
        <v>3</v>
      </c>
      <c r="C194" s="6">
        <v>51</v>
      </c>
    </row>
    <row r="195" spans="1:3">
      <c r="A195" s="5"/>
      <c r="B195" s="5">
        <v>4</v>
      </c>
      <c r="C195" s="6">
        <v>87</v>
      </c>
    </row>
    <row r="196" spans="1:3">
      <c r="A196" s="5"/>
      <c r="B196" s="5">
        <v>5</v>
      </c>
      <c r="C196" s="6">
        <v>86</v>
      </c>
    </row>
    <row r="197" spans="1:3">
      <c r="A197" s="5"/>
      <c r="B197" s="5"/>
      <c r="C197" s="6">
        <v>86</v>
      </c>
    </row>
    <row r="198" spans="1:3">
      <c r="A198" s="5"/>
      <c r="B198" s="5"/>
      <c r="C198" s="6">
        <v>86</v>
      </c>
    </row>
    <row r="199" spans="1:3">
      <c r="A199" s="5"/>
      <c r="B199" s="5">
        <v>6</v>
      </c>
      <c r="C199" s="6">
        <v>102</v>
      </c>
    </row>
    <row r="200" spans="1:3">
      <c r="A200" s="4"/>
      <c r="B200" s="4"/>
      <c r="C200" s="6">
        <v>102</v>
      </c>
    </row>
    <row r="201" spans="1:3">
      <c r="A201" s="4"/>
      <c r="B201" s="4"/>
      <c r="C201" s="6">
        <v>102</v>
      </c>
    </row>
    <row r="202" spans="1:3">
      <c r="A202" s="5">
        <v>1980</v>
      </c>
      <c r="B202" s="5">
        <v>7</v>
      </c>
      <c r="C202" s="6">
        <v>253</v>
      </c>
    </row>
    <row r="203" spans="1:3">
      <c r="A203" s="5"/>
      <c r="B203" s="5"/>
      <c r="C203" s="6">
        <v>253</v>
      </c>
    </row>
    <row r="204" spans="1:3">
      <c r="A204" s="5"/>
      <c r="B204" s="5"/>
      <c r="C204" s="6">
        <v>253</v>
      </c>
    </row>
    <row r="205" spans="1:3">
      <c r="A205" s="5"/>
      <c r="B205" s="5">
        <v>8</v>
      </c>
      <c r="C205" s="6">
        <v>214</v>
      </c>
    </row>
    <row r="206" spans="1:3">
      <c r="A206" s="5"/>
      <c r="B206" s="5"/>
      <c r="C206" s="6">
        <v>214</v>
      </c>
    </row>
    <row r="207" spans="1:3">
      <c r="A207" s="5"/>
      <c r="B207" s="5"/>
      <c r="C207" s="6">
        <v>214</v>
      </c>
    </row>
    <row r="208" spans="1:3">
      <c r="A208" s="5"/>
      <c r="B208" s="5">
        <v>9</v>
      </c>
      <c r="C208" s="6">
        <v>212</v>
      </c>
    </row>
    <row r="209" spans="1:3">
      <c r="A209" s="5"/>
      <c r="B209" s="5">
        <v>10</v>
      </c>
      <c r="C209" s="6">
        <v>118</v>
      </c>
    </row>
    <row r="210" spans="1:3">
      <c r="A210" s="5"/>
      <c r="B210" s="5">
        <v>11</v>
      </c>
      <c r="C210" s="6">
        <v>59</v>
      </c>
    </row>
    <row r="211" spans="1:3">
      <c r="A211" s="5"/>
      <c r="B211" s="5">
        <v>12</v>
      </c>
      <c r="C211" s="6">
        <v>44</v>
      </c>
    </row>
    <row r="212" spans="1:3">
      <c r="A212" s="5"/>
      <c r="B212" s="5">
        <v>1</v>
      </c>
      <c r="C212" s="6">
        <v>33</v>
      </c>
    </row>
    <row r="213" spans="1:3">
      <c r="A213" s="5"/>
      <c r="B213" s="5">
        <v>2</v>
      </c>
      <c r="C213" s="6">
        <v>35</v>
      </c>
    </row>
    <row r="214" spans="1:3">
      <c r="A214" s="5"/>
      <c r="B214" s="5">
        <v>3</v>
      </c>
      <c r="C214" s="6">
        <v>35</v>
      </c>
    </row>
    <row r="215" spans="1:3">
      <c r="A215" s="5"/>
      <c r="B215" s="5">
        <v>4</v>
      </c>
      <c r="C215" s="6">
        <v>63</v>
      </c>
    </row>
    <row r="216" spans="1:3">
      <c r="A216" s="5"/>
      <c r="B216" s="5">
        <v>5</v>
      </c>
      <c r="C216" s="6">
        <v>64</v>
      </c>
    </row>
    <row r="217" spans="1:3">
      <c r="A217" s="5"/>
      <c r="B217" s="5"/>
      <c r="C217" s="6">
        <v>64</v>
      </c>
    </row>
    <row r="218" spans="1:3">
      <c r="A218" s="5"/>
      <c r="B218" s="5"/>
      <c r="C218" s="6">
        <v>64</v>
      </c>
    </row>
    <row r="219" spans="1:3">
      <c r="A219" s="5"/>
      <c r="B219" s="5">
        <v>6</v>
      </c>
      <c r="C219" s="6">
        <v>93</v>
      </c>
    </row>
    <row r="220" spans="1:3">
      <c r="A220" s="5"/>
      <c r="B220" s="5"/>
      <c r="C220" s="6">
        <v>93</v>
      </c>
    </row>
    <row r="221" spans="1:3">
      <c r="A221" s="5"/>
      <c r="B221" s="5"/>
      <c r="C221" s="6">
        <v>93</v>
      </c>
    </row>
    <row r="222" spans="1:3">
      <c r="A222" s="5">
        <v>1981</v>
      </c>
      <c r="B222" s="5">
        <v>7</v>
      </c>
      <c r="C222" s="6">
        <v>284</v>
      </c>
    </row>
    <row r="223" spans="1:3">
      <c r="A223" s="5"/>
      <c r="B223" s="5"/>
      <c r="C223" s="6">
        <v>284</v>
      </c>
    </row>
    <row r="224" spans="1:3">
      <c r="A224" s="5"/>
      <c r="B224" s="5"/>
      <c r="C224" s="6">
        <v>284</v>
      </c>
    </row>
    <row r="225" spans="1:3">
      <c r="A225" s="5"/>
      <c r="B225" s="5">
        <v>8</v>
      </c>
      <c r="C225" s="6">
        <v>447</v>
      </c>
    </row>
    <row r="226" spans="1:3">
      <c r="A226" s="5"/>
      <c r="B226" s="5"/>
      <c r="C226" s="6">
        <v>447</v>
      </c>
    </row>
    <row r="227" spans="1:3">
      <c r="A227" s="5"/>
      <c r="B227" s="5"/>
      <c r="C227" s="6">
        <v>447</v>
      </c>
    </row>
    <row r="228" spans="1:3">
      <c r="A228" s="5"/>
      <c r="B228" s="5">
        <v>9</v>
      </c>
      <c r="C228" s="6">
        <v>577</v>
      </c>
    </row>
    <row r="229" spans="1:3">
      <c r="A229" s="5"/>
      <c r="B229" s="5">
        <v>10</v>
      </c>
      <c r="C229" s="6">
        <v>211</v>
      </c>
    </row>
    <row r="230" spans="1:3">
      <c r="A230" s="5"/>
      <c r="B230" s="5">
        <v>11</v>
      </c>
      <c r="C230" s="6">
        <v>95</v>
      </c>
    </row>
    <row r="231" spans="1:3">
      <c r="A231" s="5"/>
      <c r="B231" s="5">
        <v>12</v>
      </c>
      <c r="C231" s="6">
        <v>59</v>
      </c>
    </row>
    <row r="232" spans="1:3">
      <c r="A232" s="5"/>
      <c r="B232" s="5">
        <v>1</v>
      </c>
      <c r="C232" s="6">
        <v>54</v>
      </c>
    </row>
    <row r="233" spans="1:3">
      <c r="A233" s="5"/>
      <c r="B233" s="5">
        <v>2</v>
      </c>
      <c r="C233" s="6">
        <v>61</v>
      </c>
    </row>
    <row r="234" spans="1:3">
      <c r="A234" s="5"/>
      <c r="B234" s="5">
        <v>3</v>
      </c>
      <c r="C234" s="6">
        <v>64</v>
      </c>
    </row>
    <row r="235" spans="1:3">
      <c r="A235" s="5"/>
      <c r="B235" s="5">
        <v>4</v>
      </c>
      <c r="C235" s="6">
        <v>90</v>
      </c>
    </row>
    <row r="236" spans="1:3">
      <c r="A236" s="5"/>
      <c r="B236" s="5">
        <v>5</v>
      </c>
      <c r="C236" s="6">
        <v>106</v>
      </c>
    </row>
    <row r="237" spans="1:3">
      <c r="A237" s="5"/>
      <c r="B237" s="5"/>
      <c r="C237" s="6">
        <v>106</v>
      </c>
    </row>
    <row r="238" spans="1:3">
      <c r="A238" s="5"/>
      <c r="B238" s="5"/>
      <c r="C238" s="6">
        <v>106</v>
      </c>
    </row>
    <row r="239" spans="1:3">
      <c r="A239" s="5"/>
      <c r="B239" s="5">
        <v>6</v>
      </c>
      <c r="C239" s="6">
        <v>124</v>
      </c>
    </row>
    <row r="240" spans="1:3">
      <c r="A240" s="5"/>
      <c r="B240" s="5"/>
      <c r="C240" s="6">
        <v>124</v>
      </c>
    </row>
    <row r="241" spans="1:3">
      <c r="A241" s="5"/>
      <c r="B241" s="5"/>
      <c r="C241" s="6">
        <v>124</v>
      </c>
    </row>
    <row r="242" spans="1:3">
      <c r="A242" s="5">
        <v>1982</v>
      </c>
      <c r="B242" s="5">
        <v>7</v>
      </c>
      <c r="C242" s="6">
        <v>179</v>
      </c>
    </row>
    <row r="243" spans="1:3">
      <c r="A243" s="5"/>
      <c r="B243" s="5"/>
      <c r="C243" s="6">
        <v>179</v>
      </c>
    </row>
    <row r="244" spans="1:3">
      <c r="A244" s="5"/>
      <c r="B244" s="5"/>
      <c r="C244" s="6">
        <v>179</v>
      </c>
    </row>
    <row r="245" spans="1:3">
      <c r="A245" s="5"/>
      <c r="B245" s="5">
        <v>8</v>
      </c>
      <c r="C245" s="6">
        <v>137</v>
      </c>
    </row>
    <row r="246" spans="1:3">
      <c r="A246" s="5"/>
      <c r="B246" s="5"/>
      <c r="C246" s="6">
        <v>137</v>
      </c>
    </row>
    <row r="247" spans="1:3">
      <c r="A247" s="5"/>
      <c r="B247" s="5"/>
      <c r="C247" s="6">
        <v>137</v>
      </c>
    </row>
    <row r="248" spans="1:3">
      <c r="A248" s="5"/>
      <c r="B248" s="5">
        <v>9</v>
      </c>
      <c r="C248" s="6">
        <v>268</v>
      </c>
    </row>
    <row r="249" spans="1:3">
      <c r="A249" s="5"/>
      <c r="B249" s="5">
        <v>10</v>
      </c>
      <c r="C249" s="6">
        <v>166</v>
      </c>
    </row>
    <row r="250" spans="1:3">
      <c r="A250" s="5"/>
      <c r="B250" s="5">
        <v>11</v>
      </c>
      <c r="C250" s="6">
        <v>72</v>
      </c>
    </row>
    <row r="251" spans="1:3">
      <c r="A251" s="5"/>
      <c r="B251" s="5">
        <v>12</v>
      </c>
      <c r="C251" s="6">
        <v>45</v>
      </c>
    </row>
    <row r="252" spans="1:3">
      <c r="A252" s="5"/>
      <c r="B252" s="5">
        <v>1</v>
      </c>
      <c r="C252" s="6">
        <v>34</v>
      </c>
    </row>
    <row r="253" spans="1:3">
      <c r="A253" s="5"/>
      <c r="B253" s="5">
        <v>2</v>
      </c>
      <c r="C253" s="6">
        <v>39</v>
      </c>
    </row>
    <row r="254" spans="1:3">
      <c r="A254" s="5"/>
      <c r="B254" s="5">
        <v>3</v>
      </c>
      <c r="C254" s="6">
        <v>40</v>
      </c>
    </row>
    <row r="255" spans="1:3">
      <c r="A255" s="5"/>
      <c r="B255" s="5">
        <v>4</v>
      </c>
      <c r="C255" s="6">
        <v>78</v>
      </c>
    </row>
    <row r="256" spans="1:3">
      <c r="A256" s="5"/>
      <c r="B256" s="5">
        <v>5</v>
      </c>
      <c r="C256" s="6">
        <v>185</v>
      </c>
    </row>
    <row r="257" spans="1:3">
      <c r="A257" s="5"/>
      <c r="B257" s="5"/>
      <c r="C257" s="6">
        <v>185</v>
      </c>
    </row>
    <row r="258" spans="1:3">
      <c r="A258" s="5"/>
      <c r="B258" s="5"/>
      <c r="C258" s="6">
        <v>185</v>
      </c>
    </row>
    <row r="259" spans="1:3">
      <c r="A259" s="5"/>
      <c r="B259" s="5">
        <v>6</v>
      </c>
      <c r="C259" s="6">
        <v>223</v>
      </c>
    </row>
    <row r="260" spans="1:3">
      <c r="A260" s="5"/>
      <c r="B260" s="5"/>
      <c r="C260" s="6">
        <v>223</v>
      </c>
    </row>
    <row r="261" spans="1:3">
      <c r="A261" s="5"/>
      <c r="B261" s="5"/>
      <c r="C261" s="6">
        <v>223</v>
      </c>
    </row>
    <row r="262" spans="1:3">
      <c r="A262" s="5">
        <v>1983</v>
      </c>
      <c r="B262" s="5">
        <v>7</v>
      </c>
      <c r="C262" s="6">
        <v>476</v>
      </c>
    </row>
    <row r="263" spans="1:3">
      <c r="A263" s="5"/>
      <c r="B263" s="5"/>
      <c r="C263" s="6">
        <v>476</v>
      </c>
    </row>
    <row r="264" spans="1:3">
      <c r="A264" s="5"/>
      <c r="B264" s="5"/>
      <c r="C264" s="6">
        <v>476</v>
      </c>
    </row>
    <row r="265" spans="1:3">
      <c r="A265" s="5"/>
      <c r="B265" s="5">
        <v>8</v>
      </c>
      <c r="C265" s="6">
        <v>493</v>
      </c>
    </row>
    <row r="266" spans="1:3">
      <c r="A266" s="5"/>
      <c r="B266" s="5"/>
      <c r="C266" s="6">
        <v>493</v>
      </c>
    </row>
    <row r="267" spans="1:3">
      <c r="A267" s="5"/>
      <c r="B267" s="5"/>
      <c r="C267" s="6">
        <v>493</v>
      </c>
    </row>
    <row r="268" spans="1:3">
      <c r="A268" s="5"/>
      <c r="B268" s="5">
        <v>9</v>
      </c>
      <c r="C268" s="6">
        <v>256</v>
      </c>
    </row>
    <row r="269" spans="1:3">
      <c r="A269" s="5"/>
      <c r="B269" s="5">
        <v>10</v>
      </c>
      <c r="C269" s="6">
        <v>191</v>
      </c>
    </row>
    <row r="270" spans="1:3">
      <c r="A270" s="5"/>
      <c r="B270" s="5">
        <v>11</v>
      </c>
      <c r="C270" s="6">
        <v>92</v>
      </c>
    </row>
    <row r="271" spans="1:3">
      <c r="A271" s="5"/>
      <c r="B271" s="5">
        <v>12</v>
      </c>
      <c r="C271" s="6">
        <v>61</v>
      </c>
    </row>
    <row r="272" spans="1:3">
      <c r="A272" s="5"/>
      <c r="B272" s="5">
        <v>1</v>
      </c>
      <c r="C272" s="6">
        <v>38</v>
      </c>
    </row>
    <row r="273" spans="1:3">
      <c r="A273" s="5"/>
      <c r="B273" s="5">
        <v>2</v>
      </c>
      <c r="C273" s="6">
        <v>40</v>
      </c>
    </row>
    <row r="274" spans="1:3">
      <c r="A274" s="5"/>
      <c r="B274" s="5">
        <v>3</v>
      </c>
      <c r="C274" s="6">
        <v>48</v>
      </c>
    </row>
    <row r="275" spans="1:3">
      <c r="A275" s="5"/>
      <c r="B275" s="5">
        <v>4</v>
      </c>
      <c r="C275" s="6">
        <v>106</v>
      </c>
    </row>
    <row r="276" spans="1:3">
      <c r="A276" s="5"/>
      <c r="B276" s="5">
        <v>5</v>
      </c>
      <c r="C276" s="6">
        <v>157</v>
      </c>
    </row>
    <row r="277" spans="1:3">
      <c r="A277" s="5"/>
      <c r="B277" s="5"/>
      <c r="C277" s="6">
        <v>157</v>
      </c>
    </row>
    <row r="278" spans="1:3">
      <c r="A278" s="5"/>
      <c r="B278" s="5"/>
      <c r="C278" s="6">
        <v>157</v>
      </c>
    </row>
    <row r="279" spans="1:3">
      <c r="A279" s="5"/>
      <c r="B279" s="5">
        <v>6</v>
      </c>
      <c r="C279" s="6">
        <v>215</v>
      </c>
    </row>
    <row r="280" spans="1:3">
      <c r="A280" s="5"/>
      <c r="B280" s="5"/>
      <c r="C280" s="6">
        <v>215</v>
      </c>
    </row>
    <row r="281" spans="1:3">
      <c r="A281" s="5"/>
      <c r="B281" s="5"/>
      <c r="C281" s="6">
        <v>215</v>
      </c>
    </row>
    <row r="282" spans="1:3">
      <c r="A282" s="5">
        <v>1984</v>
      </c>
      <c r="B282" s="5">
        <v>7</v>
      </c>
      <c r="C282" s="6">
        <v>341</v>
      </c>
    </row>
    <row r="283" spans="1:3">
      <c r="A283" s="5"/>
      <c r="B283" s="5"/>
      <c r="C283" s="6">
        <v>341</v>
      </c>
    </row>
    <row r="284" spans="1:3">
      <c r="A284" s="5"/>
      <c r="B284" s="5"/>
      <c r="C284" s="6">
        <v>341</v>
      </c>
    </row>
    <row r="285" spans="1:3">
      <c r="A285" s="5"/>
      <c r="B285" s="5">
        <v>8</v>
      </c>
      <c r="C285" s="6">
        <v>151</v>
      </c>
    </row>
    <row r="286" spans="1:3">
      <c r="A286" s="5"/>
      <c r="B286" s="5"/>
      <c r="C286" s="6">
        <v>151</v>
      </c>
    </row>
    <row r="287" spans="1:3">
      <c r="A287" s="5"/>
      <c r="B287" s="5"/>
      <c r="C287" s="6">
        <v>151</v>
      </c>
    </row>
    <row r="288" spans="1:3">
      <c r="A288" s="5"/>
      <c r="B288" s="5">
        <v>9</v>
      </c>
      <c r="C288" s="6">
        <v>140</v>
      </c>
    </row>
    <row r="289" spans="1:3">
      <c r="A289" s="5"/>
      <c r="B289" s="5">
        <v>10</v>
      </c>
      <c r="C289" s="6">
        <v>113</v>
      </c>
    </row>
    <row r="290" spans="1:3">
      <c r="A290" s="5"/>
      <c r="B290" s="5">
        <v>11</v>
      </c>
      <c r="C290" s="6">
        <v>58</v>
      </c>
    </row>
    <row r="291" spans="1:3">
      <c r="A291" s="5"/>
      <c r="B291" s="5">
        <v>12</v>
      </c>
      <c r="C291" s="6">
        <v>44</v>
      </c>
    </row>
    <row r="292" spans="1:3">
      <c r="A292" s="5"/>
      <c r="B292" s="5">
        <v>1</v>
      </c>
      <c r="C292" s="6">
        <v>34</v>
      </c>
    </row>
    <row r="293" spans="1:3">
      <c r="A293" s="5"/>
      <c r="B293" s="5">
        <v>2</v>
      </c>
      <c r="C293" s="6">
        <v>35</v>
      </c>
    </row>
    <row r="294" spans="1:3">
      <c r="A294" s="5"/>
      <c r="B294" s="5">
        <v>3</v>
      </c>
      <c r="C294" s="6">
        <v>36</v>
      </c>
    </row>
    <row r="295" spans="1:3">
      <c r="A295" s="5"/>
      <c r="B295" s="5">
        <v>4</v>
      </c>
      <c r="C295" s="6">
        <v>56</v>
      </c>
    </row>
    <row r="296" spans="1:3">
      <c r="A296" s="5"/>
      <c r="B296" s="5">
        <v>5</v>
      </c>
      <c r="C296" s="6">
        <v>140</v>
      </c>
    </row>
    <row r="297" spans="1:3">
      <c r="A297" s="5"/>
      <c r="B297" s="5"/>
      <c r="C297" s="6">
        <v>140</v>
      </c>
    </row>
    <row r="298" spans="1:3">
      <c r="A298" s="5"/>
      <c r="B298" s="5"/>
      <c r="C298" s="6">
        <v>140</v>
      </c>
    </row>
    <row r="299" spans="1:3">
      <c r="A299" s="5"/>
      <c r="B299" s="5">
        <v>6</v>
      </c>
      <c r="C299" s="6">
        <v>261</v>
      </c>
    </row>
    <row r="300" spans="1:3">
      <c r="A300" s="5"/>
      <c r="B300" s="5"/>
      <c r="C300" s="6">
        <v>261</v>
      </c>
    </row>
    <row r="301" spans="1:3">
      <c r="A301" s="5"/>
      <c r="B301" s="5"/>
      <c r="C301" s="6">
        <v>261</v>
      </c>
    </row>
    <row r="302" spans="1:3">
      <c r="A302" s="5">
        <v>1985</v>
      </c>
      <c r="B302" s="5">
        <v>7</v>
      </c>
      <c r="C302" s="6">
        <v>340</v>
      </c>
    </row>
    <row r="303" spans="1:3">
      <c r="A303" s="5"/>
      <c r="B303" s="5"/>
      <c r="C303" s="6">
        <v>340</v>
      </c>
    </row>
    <row r="304" spans="1:3">
      <c r="A304" s="5"/>
      <c r="B304" s="5"/>
      <c r="C304" s="6">
        <v>340</v>
      </c>
    </row>
    <row r="305" spans="1:3">
      <c r="A305" s="5"/>
      <c r="B305" s="5">
        <v>8</v>
      </c>
      <c r="C305" s="6">
        <v>237</v>
      </c>
    </row>
    <row r="306" spans="1:3">
      <c r="A306" s="5"/>
      <c r="B306" s="5"/>
      <c r="C306" s="6">
        <v>237</v>
      </c>
    </row>
    <row r="307" spans="1:3">
      <c r="A307" s="5"/>
      <c r="B307" s="5"/>
      <c r="C307" s="6">
        <v>237</v>
      </c>
    </row>
    <row r="308" spans="1:3">
      <c r="A308" s="5"/>
      <c r="B308" s="5">
        <v>9</v>
      </c>
      <c r="C308" s="6">
        <v>335</v>
      </c>
    </row>
    <row r="309" spans="1:3">
      <c r="A309" s="5"/>
      <c r="B309" s="5">
        <v>10</v>
      </c>
      <c r="C309" s="6">
        <v>174</v>
      </c>
    </row>
    <row r="310" spans="1:3">
      <c r="A310" s="5"/>
      <c r="B310" s="5">
        <v>11</v>
      </c>
      <c r="C310" s="6">
        <v>82</v>
      </c>
    </row>
    <row r="311" spans="1:3">
      <c r="A311" s="5"/>
      <c r="B311" s="5">
        <v>12</v>
      </c>
      <c r="C311" s="6">
        <v>60</v>
      </c>
    </row>
    <row r="312" spans="1:3">
      <c r="A312" s="5"/>
      <c r="B312" s="5">
        <v>1</v>
      </c>
      <c r="C312" s="6">
        <v>43</v>
      </c>
    </row>
    <row r="313" spans="1:3">
      <c r="A313" s="5"/>
      <c r="B313" s="5">
        <v>2</v>
      </c>
      <c r="C313" s="6">
        <v>43</v>
      </c>
    </row>
    <row r="314" spans="1:3">
      <c r="A314" s="5"/>
      <c r="B314" s="5">
        <v>3</v>
      </c>
      <c r="C314" s="6">
        <v>43</v>
      </c>
    </row>
    <row r="315" spans="1:3">
      <c r="A315" s="5"/>
      <c r="B315" s="5">
        <v>4</v>
      </c>
      <c r="C315" s="6">
        <v>90</v>
      </c>
    </row>
    <row r="316" spans="1:3">
      <c r="A316" s="5"/>
      <c r="B316" s="5">
        <v>5</v>
      </c>
      <c r="C316" s="6">
        <v>119</v>
      </c>
    </row>
    <row r="317" spans="1:3">
      <c r="A317" s="5"/>
      <c r="B317" s="5"/>
      <c r="C317" s="6">
        <v>119</v>
      </c>
    </row>
    <row r="318" spans="1:3">
      <c r="A318" s="5"/>
      <c r="B318" s="5"/>
      <c r="C318" s="6">
        <v>119</v>
      </c>
    </row>
    <row r="319" spans="1:3">
      <c r="A319" s="5"/>
      <c r="B319" s="5">
        <v>6</v>
      </c>
      <c r="C319" s="6">
        <v>320</v>
      </c>
    </row>
    <row r="320" spans="1:3">
      <c r="A320" s="5"/>
      <c r="B320" s="5"/>
      <c r="C320" s="6">
        <v>320</v>
      </c>
    </row>
    <row r="321" spans="1:3">
      <c r="A321" s="5"/>
      <c r="B321" s="5"/>
      <c r="C321" s="6">
        <v>320</v>
      </c>
    </row>
    <row r="322" spans="1:3">
      <c r="A322" s="5">
        <v>1986</v>
      </c>
      <c r="B322" s="5">
        <v>7</v>
      </c>
      <c r="C322" s="6">
        <v>314</v>
      </c>
    </row>
    <row r="323" spans="1:3">
      <c r="A323" s="5"/>
      <c r="B323" s="5"/>
      <c r="C323" s="6">
        <v>314</v>
      </c>
    </row>
    <row r="324" spans="1:3">
      <c r="A324" s="5"/>
      <c r="B324" s="5"/>
      <c r="C324" s="6">
        <v>314</v>
      </c>
    </row>
    <row r="325" spans="1:3">
      <c r="A325" s="5"/>
      <c r="B325" s="5">
        <v>8</v>
      </c>
      <c r="C325" s="6">
        <v>277</v>
      </c>
    </row>
    <row r="326" spans="1:3">
      <c r="A326" s="5"/>
      <c r="B326" s="5"/>
      <c r="C326" s="6">
        <v>277</v>
      </c>
    </row>
    <row r="327" spans="1:3">
      <c r="A327" s="5"/>
      <c r="B327" s="5"/>
      <c r="C327" s="6">
        <v>277</v>
      </c>
    </row>
    <row r="328" spans="1:3">
      <c r="A328" s="5"/>
      <c r="B328" s="5">
        <v>9</v>
      </c>
      <c r="C328" s="6">
        <v>190</v>
      </c>
    </row>
    <row r="329" spans="1:3">
      <c r="A329" s="5"/>
      <c r="B329" s="5">
        <v>10</v>
      </c>
      <c r="C329" s="6">
        <v>108</v>
      </c>
    </row>
    <row r="330" spans="1:3">
      <c r="A330" s="5"/>
      <c r="B330" s="5">
        <v>11</v>
      </c>
      <c r="C330" s="6">
        <v>64</v>
      </c>
    </row>
    <row r="331" spans="1:3">
      <c r="A331" s="5"/>
      <c r="B331" s="5">
        <v>12</v>
      </c>
      <c r="C331" s="6">
        <v>57</v>
      </c>
    </row>
    <row r="332" spans="1:3">
      <c r="A332" s="5"/>
      <c r="B332" s="5">
        <v>1</v>
      </c>
      <c r="C332" s="6">
        <v>42</v>
      </c>
    </row>
    <row r="333" spans="1:3">
      <c r="A333" s="5"/>
      <c r="B333" s="5">
        <v>2</v>
      </c>
      <c r="C333" s="6">
        <v>44</v>
      </c>
    </row>
    <row r="334" spans="1:3">
      <c r="A334" s="5"/>
      <c r="B334" s="5">
        <v>3</v>
      </c>
      <c r="C334" s="6">
        <v>39</v>
      </c>
    </row>
    <row r="335" spans="1:3">
      <c r="A335" s="5"/>
      <c r="B335" s="5">
        <v>4</v>
      </c>
      <c r="C335" s="6">
        <v>62</v>
      </c>
    </row>
    <row r="336" spans="1:3">
      <c r="A336" s="5"/>
      <c r="B336" s="5">
        <v>5</v>
      </c>
      <c r="C336" s="6">
        <v>120</v>
      </c>
    </row>
    <row r="337" spans="1:3">
      <c r="A337" s="5"/>
      <c r="B337" s="5"/>
      <c r="C337" s="6">
        <v>120</v>
      </c>
    </row>
    <row r="338" spans="1:3">
      <c r="A338" s="5"/>
      <c r="B338" s="5"/>
      <c r="C338" s="6">
        <v>120</v>
      </c>
    </row>
    <row r="339" spans="1:3">
      <c r="A339" s="5"/>
      <c r="B339" s="5">
        <v>6</v>
      </c>
      <c r="C339" s="6">
        <v>336</v>
      </c>
    </row>
    <row r="340" spans="1:3">
      <c r="A340" s="5"/>
      <c r="B340" s="5"/>
      <c r="C340" s="6">
        <v>336</v>
      </c>
    </row>
    <row r="341" spans="1:3">
      <c r="A341" s="5"/>
      <c r="B341" s="5"/>
      <c r="C341" s="6">
        <v>336</v>
      </c>
    </row>
    <row r="342" spans="1:3">
      <c r="A342" s="5">
        <v>1987</v>
      </c>
      <c r="B342" s="5">
        <v>7</v>
      </c>
      <c r="C342" s="6">
        <v>242</v>
      </c>
    </row>
    <row r="343" spans="1:3">
      <c r="A343" s="5"/>
      <c r="B343" s="5"/>
      <c r="C343" s="6">
        <v>242</v>
      </c>
    </row>
    <row r="344" spans="1:3">
      <c r="A344" s="5"/>
      <c r="B344" s="5"/>
      <c r="C344" s="6">
        <v>242</v>
      </c>
    </row>
    <row r="345" spans="1:3">
      <c r="A345" s="5"/>
      <c r="B345" s="5">
        <v>8</v>
      </c>
      <c r="C345" s="6">
        <v>239</v>
      </c>
    </row>
    <row r="346" spans="1:3">
      <c r="A346" s="5"/>
      <c r="B346" s="5"/>
      <c r="C346" s="6">
        <v>239</v>
      </c>
    </row>
    <row r="347" spans="1:3">
      <c r="A347" s="5"/>
      <c r="B347" s="5"/>
      <c r="C347" s="6">
        <v>239</v>
      </c>
    </row>
    <row r="348" spans="1:3">
      <c r="A348" s="5"/>
      <c r="B348" s="5">
        <v>9</v>
      </c>
      <c r="C348" s="6">
        <v>123</v>
      </c>
    </row>
    <row r="349" spans="1:3">
      <c r="A349" s="5"/>
      <c r="B349" s="5">
        <v>10</v>
      </c>
      <c r="C349" s="6">
        <v>112</v>
      </c>
    </row>
    <row r="350" spans="1:3">
      <c r="A350" s="5"/>
      <c r="B350" s="5">
        <v>11</v>
      </c>
      <c r="C350" s="6">
        <v>71</v>
      </c>
    </row>
    <row r="351" spans="1:3">
      <c r="A351" s="5"/>
      <c r="B351" s="5">
        <v>12</v>
      </c>
      <c r="C351" s="6">
        <v>49</v>
      </c>
    </row>
    <row r="352" spans="1:3">
      <c r="A352" s="5"/>
      <c r="B352" s="5">
        <v>1</v>
      </c>
      <c r="C352" s="6">
        <v>39</v>
      </c>
    </row>
    <row r="353" spans="1:3">
      <c r="A353" s="5"/>
      <c r="B353" s="5">
        <v>2</v>
      </c>
      <c r="C353" s="6">
        <v>39</v>
      </c>
    </row>
    <row r="354" spans="1:3">
      <c r="A354" s="5"/>
      <c r="B354" s="5">
        <v>3</v>
      </c>
      <c r="C354" s="6">
        <v>38</v>
      </c>
    </row>
    <row r="355" spans="1:3">
      <c r="A355" s="5"/>
      <c r="B355" s="5">
        <v>4</v>
      </c>
      <c r="C355" s="6">
        <v>82</v>
      </c>
    </row>
    <row r="356" spans="1:3">
      <c r="A356" s="5"/>
      <c r="B356" s="5">
        <v>5</v>
      </c>
      <c r="C356" s="6">
        <v>145</v>
      </c>
    </row>
    <row r="357" spans="1:3">
      <c r="A357" s="5"/>
      <c r="B357" s="5"/>
      <c r="C357" s="6">
        <v>145</v>
      </c>
    </row>
    <row r="358" spans="1:3">
      <c r="A358" s="5"/>
      <c r="B358" s="5"/>
      <c r="C358" s="6">
        <v>145</v>
      </c>
    </row>
    <row r="359" spans="1:3">
      <c r="A359" s="5"/>
      <c r="B359" s="5">
        <v>6</v>
      </c>
      <c r="C359" s="6">
        <v>194</v>
      </c>
    </row>
    <row r="360" spans="1:3">
      <c r="A360" s="5"/>
      <c r="B360" s="5"/>
      <c r="C360" s="6">
        <v>194</v>
      </c>
    </row>
    <row r="361" spans="1:3">
      <c r="A361" s="5"/>
      <c r="B361" s="5"/>
      <c r="C361" s="6">
        <v>194</v>
      </c>
    </row>
    <row r="362" spans="1:3">
      <c r="A362" s="5">
        <v>1988</v>
      </c>
      <c r="B362" s="5">
        <v>7</v>
      </c>
      <c r="C362" s="6">
        <v>269</v>
      </c>
    </row>
    <row r="363" spans="1:3">
      <c r="A363" s="5"/>
      <c r="B363" s="5"/>
      <c r="C363" s="6">
        <v>269</v>
      </c>
    </row>
    <row r="364" spans="1:3">
      <c r="A364" s="5"/>
      <c r="B364" s="5"/>
      <c r="C364" s="6">
        <v>269</v>
      </c>
    </row>
    <row r="365" spans="1:3">
      <c r="A365" s="5"/>
      <c r="B365" s="5">
        <v>8</v>
      </c>
      <c r="C365" s="6">
        <v>344</v>
      </c>
    </row>
    <row r="366" spans="1:3">
      <c r="A366" s="5"/>
      <c r="B366" s="5"/>
      <c r="C366" s="6">
        <v>344</v>
      </c>
    </row>
    <row r="367" spans="1:3">
      <c r="A367" s="5"/>
      <c r="B367" s="5"/>
      <c r="C367" s="6">
        <v>344</v>
      </c>
    </row>
    <row r="368" spans="1:3">
      <c r="A368" s="5"/>
      <c r="B368" s="5">
        <v>9</v>
      </c>
      <c r="C368" s="6">
        <v>328</v>
      </c>
    </row>
    <row r="369" spans="1:3">
      <c r="A369" s="5"/>
      <c r="B369" s="5">
        <v>10</v>
      </c>
      <c r="C369" s="6">
        <v>331</v>
      </c>
    </row>
    <row r="370" spans="1:3">
      <c r="A370" s="5"/>
      <c r="B370" s="5">
        <v>11</v>
      </c>
      <c r="C370" s="6">
        <v>135</v>
      </c>
    </row>
    <row r="371" spans="1:3">
      <c r="A371" s="5"/>
      <c r="B371" s="5">
        <v>12</v>
      </c>
      <c r="C371" s="6">
        <v>85</v>
      </c>
    </row>
    <row r="372" spans="1:3">
      <c r="A372" s="5"/>
      <c r="B372" s="5">
        <v>1</v>
      </c>
      <c r="C372" s="6">
        <v>59</v>
      </c>
    </row>
    <row r="373" spans="1:3">
      <c r="A373" s="5"/>
      <c r="B373" s="5">
        <v>2</v>
      </c>
      <c r="C373" s="6">
        <v>55</v>
      </c>
    </row>
    <row r="374" spans="1:3">
      <c r="A374" s="5"/>
      <c r="B374" s="5">
        <v>3</v>
      </c>
      <c r="C374" s="6">
        <v>55</v>
      </c>
    </row>
    <row r="375" spans="1:3">
      <c r="A375" s="5"/>
      <c r="B375" s="5">
        <v>4</v>
      </c>
      <c r="C375" s="6">
        <v>118</v>
      </c>
    </row>
    <row r="376" spans="1:3">
      <c r="A376" s="5"/>
      <c r="B376" s="5">
        <v>5</v>
      </c>
      <c r="C376" s="6">
        <v>220</v>
      </c>
    </row>
    <row r="377" spans="1:3">
      <c r="A377" s="5"/>
      <c r="B377" s="5"/>
      <c r="C377" s="6">
        <v>220</v>
      </c>
    </row>
    <row r="378" spans="1:3">
      <c r="A378" s="5"/>
      <c r="B378" s="5"/>
      <c r="C378" s="6">
        <v>220</v>
      </c>
    </row>
    <row r="379" spans="1:3">
      <c r="A379" s="5"/>
      <c r="B379" s="5">
        <v>6</v>
      </c>
      <c r="C379" s="6">
        <v>343</v>
      </c>
    </row>
    <row r="380" spans="1:3">
      <c r="A380" s="5"/>
      <c r="B380" s="5"/>
      <c r="C380" s="6">
        <v>343</v>
      </c>
    </row>
    <row r="381" spans="1:3">
      <c r="A381" s="5"/>
      <c r="B381" s="5"/>
      <c r="C381" s="6">
        <v>343</v>
      </c>
    </row>
    <row r="382" spans="1:3">
      <c r="A382" s="5">
        <v>1989</v>
      </c>
      <c r="B382" s="5">
        <v>7</v>
      </c>
      <c r="C382" s="6">
        <v>660</v>
      </c>
    </row>
    <row r="383" spans="1:3">
      <c r="A383" s="5"/>
      <c r="B383" s="5"/>
      <c r="C383" s="6">
        <v>660</v>
      </c>
    </row>
    <row r="384" spans="1:3">
      <c r="A384" s="5"/>
      <c r="B384" s="5"/>
      <c r="C384" s="6">
        <v>660</v>
      </c>
    </row>
    <row r="385" spans="1:3">
      <c r="A385" s="5"/>
      <c r="B385" s="5">
        <v>8</v>
      </c>
      <c r="C385" s="6">
        <v>418</v>
      </c>
    </row>
    <row r="386" spans="1:3">
      <c r="A386" s="5"/>
      <c r="B386" s="5"/>
      <c r="C386" s="6">
        <v>418</v>
      </c>
    </row>
    <row r="387" spans="1:3">
      <c r="A387" s="5"/>
      <c r="B387" s="5"/>
      <c r="C387" s="6">
        <v>418</v>
      </c>
    </row>
    <row r="388" spans="1:3">
      <c r="A388" s="5"/>
      <c r="B388" s="5">
        <v>9</v>
      </c>
      <c r="C388" s="6">
        <v>494</v>
      </c>
    </row>
    <row r="389" spans="1:3">
      <c r="A389" s="5"/>
      <c r="B389" s="5">
        <v>10</v>
      </c>
      <c r="C389" s="6">
        <v>297</v>
      </c>
    </row>
    <row r="390" spans="1:3">
      <c r="A390" s="5"/>
      <c r="B390" s="5">
        <v>11</v>
      </c>
      <c r="C390" s="6">
        <v>147</v>
      </c>
    </row>
    <row r="391" spans="1:3">
      <c r="A391" s="5"/>
      <c r="B391" s="5">
        <v>12</v>
      </c>
      <c r="C391" s="6">
        <v>100</v>
      </c>
    </row>
    <row r="392" spans="1:3">
      <c r="A392" s="5"/>
      <c r="B392" s="5">
        <v>1</v>
      </c>
      <c r="C392" s="6">
        <v>65</v>
      </c>
    </row>
    <row r="393" spans="1:3">
      <c r="A393" s="5"/>
      <c r="B393" s="5">
        <v>2</v>
      </c>
      <c r="C393" s="6">
        <v>64</v>
      </c>
    </row>
    <row r="394" spans="1:3">
      <c r="A394" s="5"/>
      <c r="B394" s="5">
        <v>3</v>
      </c>
      <c r="C394" s="6">
        <v>80</v>
      </c>
    </row>
    <row r="395" spans="1:3">
      <c r="A395" s="5"/>
      <c r="B395" s="5">
        <v>4</v>
      </c>
      <c r="C395" s="6">
        <v>122</v>
      </c>
    </row>
    <row r="396" spans="1:3">
      <c r="A396" s="5"/>
      <c r="B396" s="5">
        <v>5</v>
      </c>
      <c r="C396" s="6">
        <v>242</v>
      </c>
    </row>
    <row r="397" spans="1:3">
      <c r="A397" s="5"/>
      <c r="B397" s="5"/>
      <c r="C397" s="6">
        <v>242</v>
      </c>
    </row>
    <row r="398" spans="1:3">
      <c r="A398" s="5"/>
      <c r="B398" s="5"/>
      <c r="C398" s="6">
        <v>242</v>
      </c>
    </row>
    <row r="399" spans="1:3">
      <c r="A399" s="5"/>
      <c r="B399" s="5">
        <v>6</v>
      </c>
      <c r="C399" s="6">
        <v>183</v>
      </c>
    </row>
    <row r="400" spans="1:3">
      <c r="A400" s="5"/>
      <c r="B400" s="5"/>
      <c r="C400" s="6">
        <v>183</v>
      </c>
    </row>
    <row r="401" spans="1:3">
      <c r="A401" s="5"/>
      <c r="B401" s="5"/>
      <c r="C401" s="6">
        <v>183</v>
      </c>
    </row>
    <row r="402" spans="1:3">
      <c r="A402" s="5">
        <v>1990</v>
      </c>
      <c r="B402" s="5">
        <v>7</v>
      </c>
      <c r="C402" s="6">
        <v>275</v>
      </c>
    </row>
    <row r="403" spans="1:3">
      <c r="A403" s="5"/>
      <c r="B403" s="5"/>
      <c r="C403" s="6">
        <v>275</v>
      </c>
    </row>
    <row r="404" spans="1:3">
      <c r="A404" s="5"/>
      <c r="B404" s="5"/>
      <c r="C404" s="6">
        <v>275</v>
      </c>
    </row>
    <row r="405" spans="1:3">
      <c r="A405" s="5"/>
      <c r="B405" s="5">
        <v>8</v>
      </c>
      <c r="C405" s="6">
        <v>235</v>
      </c>
    </row>
    <row r="406" spans="1:3">
      <c r="A406" s="5"/>
      <c r="B406" s="5"/>
      <c r="C406" s="6">
        <v>235</v>
      </c>
    </row>
    <row r="407" spans="1:3">
      <c r="A407" s="5"/>
      <c r="B407" s="5"/>
      <c r="C407" s="6">
        <v>235</v>
      </c>
    </row>
    <row r="408" spans="1:3">
      <c r="A408" s="5"/>
      <c r="B408" s="5">
        <v>9</v>
      </c>
      <c r="C408" s="6">
        <v>173</v>
      </c>
    </row>
    <row r="409" spans="1:3">
      <c r="A409" s="5"/>
      <c r="B409" s="5">
        <v>10</v>
      </c>
      <c r="C409" s="6">
        <v>116</v>
      </c>
    </row>
    <row r="410" spans="1:3">
      <c r="A410" s="5"/>
      <c r="B410" s="5">
        <v>11</v>
      </c>
      <c r="C410" s="6">
        <v>105</v>
      </c>
    </row>
    <row r="411" spans="1:3">
      <c r="A411" s="5"/>
      <c r="B411" s="5">
        <v>12</v>
      </c>
      <c r="C411" s="6">
        <v>62</v>
      </c>
    </row>
    <row r="412" spans="1:3">
      <c r="A412" s="5"/>
      <c r="B412" s="5">
        <v>1</v>
      </c>
      <c r="C412" s="6">
        <v>48</v>
      </c>
    </row>
    <row r="413" spans="1:3">
      <c r="A413" s="5"/>
      <c r="B413" s="5">
        <v>2</v>
      </c>
      <c r="C413" s="6">
        <v>51</v>
      </c>
    </row>
    <row r="414" spans="1:3">
      <c r="A414" s="5"/>
      <c r="B414" s="5">
        <v>3</v>
      </c>
      <c r="C414" s="6">
        <v>45</v>
      </c>
    </row>
    <row r="415" spans="1:3">
      <c r="A415" s="5"/>
      <c r="B415" s="5">
        <v>4</v>
      </c>
      <c r="C415" s="6">
        <v>69</v>
      </c>
    </row>
    <row r="416" spans="1:3">
      <c r="A416" s="5"/>
      <c r="B416" s="5">
        <v>5</v>
      </c>
      <c r="C416" s="6">
        <v>117</v>
      </c>
    </row>
    <row r="417" spans="1:3">
      <c r="A417" s="5"/>
      <c r="B417" s="5"/>
      <c r="C417" s="6">
        <v>117</v>
      </c>
    </row>
    <row r="418" spans="1:3">
      <c r="A418" s="5"/>
      <c r="B418" s="5"/>
      <c r="C418" s="6">
        <v>117</v>
      </c>
    </row>
    <row r="419" spans="1:3">
      <c r="A419" s="5"/>
      <c r="B419" s="5">
        <v>6</v>
      </c>
      <c r="C419" s="6">
        <v>145</v>
      </c>
    </row>
    <row r="420" spans="1:3">
      <c r="A420" s="5"/>
      <c r="B420" s="5"/>
      <c r="C420" s="6">
        <v>145</v>
      </c>
    </row>
    <row r="421" spans="1:3">
      <c r="A421" s="5"/>
      <c r="B421" s="5"/>
      <c r="C421" s="6">
        <v>145</v>
      </c>
    </row>
    <row r="422" spans="1:3">
      <c r="A422" s="5">
        <v>1991</v>
      </c>
      <c r="B422" s="5">
        <v>7</v>
      </c>
      <c r="C422" s="6">
        <v>176</v>
      </c>
    </row>
    <row r="423" spans="1:3">
      <c r="A423" s="5"/>
      <c r="B423" s="5"/>
      <c r="C423" s="6">
        <v>176</v>
      </c>
    </row>
    <row r="424" spans="1:3">
      <c r="A424" s="5"/>
      <c r="B424" s="5"/>
      <c r="C424" s="6">
        <v>176</v>
      </c>
    </row>
    <row r="425" spans="1:3">
      <c r="A425" s="5"/>
      <c r="B425" s="5">
        <v>8</v>
      </c>
      <c r="C425" s="6">
        <v>133</v>
      </c>
    </row>
    <row r="426" spans="1:3">
      <c r="A426" s="5"/>
      <c r="B426" s="5"/>
      <c r="C426" s="6">
        <v>133</v>
      </c>
    </row>
    <row r="427" spans="1:3">
      <c r="A427" s="5"/>
      <c r="B427" s="5"/>
      <c r="C427" s="6">
        <v>133</v>
      </c>
    </row>
    <row r="428" spans="1:3">
      <c r="A428" s="5"/>
      <c r="B428" s="5">
        <v>9</v>
      </c>
      <c r="C428" s="6">
        <v>93</v>
      </c>
    </row>
    <row r="429" spans="1:3">
      <c r="A429" s="5"/>
      <c r="B429" s="5">
        <v>10</v>
      </c>
      <c r="C429" s="6">
        <v>73</v>
      </c>
    </row>
    <row r="430" spans="1:3">
      <c r="A430" s="5"/>
      <c r="B430" s="5">
        <v>11</v>
      </c>
      <c r="C430" s="6">
        <v>32</v>
      </c>
    </row>
    <row r="431" spans="1:3">
      <c r="A431" s="5"/>
      <c r="B431" s="5">
        <v>12</v>
      </c>
      <c r="C431" s="6">
        <v>40</v>
      </c>
    </row>
    <row r="432" spans="1:3">
      <c r="A432" s="5"/>
      <c r="B432" s="5">
        <v>1</v>
      </c>
      <c r="C432" s="6">
        <v>30</v>
      </c>
    </row>
    <row r="433" spans="1:3">
      <c r="A433" s="5"/>
      <c r="B433" s="5">
        <v>2</v>
      </c>
      <c r="C433" s="6">
        <v>31</v>
      </c>
    </row>
    <row r="434" spans="1:3">
      <c r="A434" s="5"/>
      <c r="B434" s="5">
        <v>3</v>
      </c>
      <c r="C434" s="6">
        <v>28</v>
      </c>
    </row>
    <row r="435" spans="1:3">
      <c r="A435" s="5"/>
      <c r="B435" s="5">
        <v>4</v>
      </c>
      <c r="C435" s="6">
        <v>68</v>
      </c>
    </row>
    <row r="436" spans="1:3">
      <c r="A436" s="5"/>
      <c r="B436" s="5">
        <v>5</v>
      </c>
      <c r="C436" s="6">
        <v>133</v>
      </c>
    </row>
    <row r="437" spans="1:3">
      <c r="A437" s="5"/>
      <c r="B437" s="5"/>
      <c r="C437" s="6">
        <v>133</v>
      </c>
    </row>
    <row r="438" spans="1:3">
      <c r="A438" s="5"/>
      <c r="B438" s="5"/>
      <c r="C438" s="6">
        <v>133</v>
      </c>
    </row>
    <row r="439" spans="1:3">
      <c r="A439" s="5"/>
      <c r="B439" s="5">
        <v>6</v>
      </c>
      <c r="C439" s="6">
        <v>169</v>
      </c>
    </row>
    <row r="440" spans="1:3">
      <c r="A440" s="5"/>
      <c r="B440" s="5"/>
      <c r="C440" s="6">
        <v>169</v>
      </c>
    </row>
    <row r="441" spans="1:3">
      <c r="A441" s="5"/>
      <c r="B441" s="5"/>
      <c r="C441" s="6">
        <v>169</v>
      </c>
    </row>
    <row r="442" spans="1:3">
      <c r="A442" s="5">
        <v>1992</v>
      </c>
      <c r="B442" s="5">
        <v>7</v>
      </c>
      <c r="C442" s="6">
        <v>216</v>
      </c>
    </row>
    <row r="443" spans="1:3">
      <c r="A443" s="5"/>
      <c r="B443" s="5"/>
      <c r="C443" s="6">
        <v>216</v>
      </c>
    </row>
    <row r="444" spans="1:3">
      <c r="A444" s="5"/>
      <c r="B444" s="5"/>
      <c r="C444" s="6">
        <v>216</v>
      </c>
    </row>
    <row r="445" spans="1:3">
      <c r="A445" s="5"/>
      <c r="B445" s="5">
        <v>8</v>
      </c>
      <c r="C445" s="6">
        <v>273</v>
      </c>
    </row>
    <row r="446" spans="1:3">
      <c r="A446" s="5"/>
      <c r="B446" s="5"/>
      <c r="C446" s="6">
        <v>273</v>
      </c>
    </row>
    <row r="447" spans="1:3">
      <c r="A447" s="5"/>
      <c r="B447" s="5"/>
      <c r="C447" s="6">
        <v>273</v>
      </c>
    </row>
    <row r="448" spans="1:3">
      <c r="A448" s="5"/>
      <c r="B448" s="5">
        <v>9</v>
      </c>
      <c r="C448" s="6">
        <v>276</v>
      </c>
    </row>
    <row r="449" spans="1:3">
      <c r="A449" s="5"/>
      <c r="B449" s="5">
        <v>10</v>
      </c>
      <c r="C449" s="6">
        <v>187</v>
      </c>
    </row>
    <row r="450" spans="1:3">
      <c r="A450" s="5"/>
      <c r="B450" s="5">
        <v>11</v>
      </c>
      <c r="C450" s="6">
        <v>90</v>
      </c>
    </row>
    <row r="451" spans="1:3">
      <c r="A451" s="5"/>
      <c r="B451" s="5">
        <v>12</v>
      </c>
      <c r="C451" s="6">
        <v>63</v>
      </c>
    </row>
    <row r="452" spans="1:3">
      <c r="A452" s="5"/>
      <c r="B452" s="5">
        <v>1</v>
      </c>
      <c r="C452" s="6">
        <v>50</v>
      </c>
    </row>
    <row r="453" spans="1:3">
      <c r="A453" s="5"/>
      <c r="B453" s="5">
        <v>2</v>
      </c>
      <c r="C453" s="6">
        <v>50</v>
      </c>
    </row>
    <row r="454" spans="1:3">
      <c r="A454" s="5"/>
      <c r="B454" s="5">
        <v>3</v>
      </c>
      <c r="C454" s="6">
        <v>51</v>
      </c>
    </row>
    <row r="455" spans="1:3">
      <c r="A455" s="5"/>
      <c r="B455" s="5">
        <v>4</v>
      </c>
      <c r="C455" s="6">
        <v>124</v>
      </c>
    </row>
    <row r="456" spans="1:3">
      <c r="A456" s="5"/>
      <c r="B456" s="5">
        <v>5</v>
      </c>
      <c r="C456" s="6">
        <v>119</v>
      </c>
    </row>
    <row r="457" spans="1:3">
      <c r="A457" s="5"/>
      <c r="B457" s="5"/>
      <c r="C457" s="6">
        <v>119</v>
      </c>
    </row>
    <row r="458" spans="1:3">
      <c r="A458" s="5"/>
      <c r="B458" s="5"/>
      <c r="C458" s="6">
        <v>119</v>
      </c>
    </row>
    <row r="459" spans="1:3">
      <c r="A459" s="5"/>
      <c r="B459" s="5">
        <v>6</v>
      </c>
      <c r="C459" s="6">
        <v>177</v>
      </c>
    </row>
    <row r="460" spans="1:3">
      <c r="A460" s="5"/>
      <c r="B460" s="5"/>
      <c r="C460" s="6">
        <v>177</v>
      </c>
    </row>
    <row r="461" spans="1:3">
      <c r="A461" s="5"/>
      <c r="B461" s="5"/>
      <c r="C461" s="6">
        <v>177</v>
      </c>
    </row>
    <row r="462" spans="1:3">
      <c r="A462" s="5">
        <v>1993</v>
      </c>
      <c r="B462" s="5">
        <v>7</v>
      </c>
      <c r="C462" s="6">
        <v>360</v>
      </c>
    </row>
    <row r="463" spans="1:3">
      <c r="A463" s="5"/>
      <c r="B463" s="5"/>
      <c r="C463" s="6">
        <v>360</v>
      </c>
    </row>
    <row r="464" spans="1:3">
      <c r="A464" s="5"/>
      <c r="B464" s="5"/>
      <c r="C464" s="6">
        <v>360</v>
      </c>
    </row>
    <row r="465" spans="1:3">
      <c r="A465" s="5"/>
      <c r="B465" s="5">
        <v>8</v>
      </c>
      <c r="C465" s="6">
        <v>496</v>
      </c>
    </row>
    <row r="466" spans="1:3">
      <c r="A466" s="5"/>
      <c r="B466" s="5"/>
      <c r="C466" s="6">
        <v>496</v>
      </c>
    </row>
    <row r="467" spans="1:3">
      <c r="A467" s="5"/>
      <c r="B467" s="5"/>
      <c r="C467" s="6">
        <v>496</v>
      </c>
    </row>
    <row r="468" spans="1:3">
      <c r="A468" s="5"/>
      <c r="B468" s="5">
        <v>9</v>
      </c>
      <c r="C468" s="6">
        <v>223</v>
      </c>
    </row>
    <row r="469" spans="1:3">
      <c r="A469" s="5"/>
      <c r="B469" s="5">
        <v>10</v>
      </c>
      <c r="C469" s="6">
        <v>140</v>
      </c>
    </row>
    <row r="470" spans="1:3">
      <c r="A470" s="5"/>
      <c r="B470" s="5">
        <v>11</v>
      </c>
      <c r="C470" s="6">
        <v>75</v>
      </c>
    </row>
    <row r="471" spans="1:3">
      <c r="A471" s="5"/>
      <c r="B471" s="5">
        <v>12</v>
      </c>
      <c r="C471" s="6">
        <v>57</v>
      </c>
    </row>
    <row r="472" spans="1:3">
      <c r="A472" s="5"/>
      <c r="B472" s="5">
        <v>1</v>
      </c>
      <c r="C472" s="6">
        <v>48</v>
      </c>
    </row>
    <row r="473" spans="1:3">
      <c r="A473" s="5"/>
      <c r="B473" s="5">
        <v>2</v>
      </c>
      <c r="C473" s="6">
        <v>45</v>
      </c>
    </row>
    <row r="474" spans="1:3">
      <c r="A474" s="5"/>
      <c r="B474" s="5">
        <v>3</v>
      </c>
      <c r="C474" s="6">
        <v>35</v>
      </c>
    </row>
    <row r="475" spans="1:3">
      <c r="A475" s="5"/>
      <c r="B475" s="5">
        <v>4</v>
      </c>
      <c r="C475" s="6">
        <v>69</v>
      </c>
    </row>
    <row r="476" spans="1:3">
      <c r="A476" s="5"/>
      <c r="B476" s="5">
        <v>5</v>
      </c>
      <c r="C476" s="6">
        <v>76</v>
      </c>
    </row>
    <row r="477" spans="1:3">
      <c r="A477" s="5"/>
      <c r="B477" s="5"/>
      <c r="C477" s="6">
        <v>76</v>
      </c>
    </row>
    <row r="478" spans="1:3">
      <c r="A478" s="5"/>
      <c r="B478" s="5"/>
      <c r="C478" s="6">
        <v>76</v>
      </c>
    </row>
    <row r="479" spans="1:3">
      <c r="A479" s="5"/>
      <c r="B479" s="5">
        <v>6</v>
      </c>
      <c r="C479" s="6">
        <v>127</v>
      </c>
    </row>
    <row r="480" spans="1:3">
      <c r="A480" s="5"/>
      <c r="B480" s="5"/>
      <c r="C480" s="6">
        <v>127</v>
      </c>
    </row>
    <row r="481" spans="1:3">
      <c r="A481" s="5"/>
      <c r="B481" s="5"/>
      <c r="C481" s="6">
        <v>127</v>
      </c>
    </row>
    <row r="482" spans="1:3">
      <c r="A482" s="5">
        <v>1994</v>
      </c>
      <c r="B482" s="5">
        <v>7</v>
      </c>
      <c r="C482" s="6">
        <v>247</v>
      </c>
    </row>
    <row r="483" spans="1:3">
      <c r="A483" s="5"/>
      <c r="B483" s="5"/>
      <c r="C483" s="6">
        <v>247</v>
      </c>
    </row>
    <row r="484" spans="1:3">
      <c r="A484" s="5"/>
      <c r="B484" s="5"/>
      <c r="C484" s="6">
        <v>247</v>
      </c>
    </row>
    <row r="485" spans="1:3">
      <c r="A485" s="5"/>
      <c r="B485" s="5">
        <v>8</v>
      </c>
      <c r="C485" s="6">
        <v>208</v>
      </c>
    </row>
    <row r="486" spans="1:3">
      <c r="A486" s="5"/>
      <c r="B486" s="5"/>
      <c r="C486" s="6">
        <v>208</v>
      </c>
    </row>
    <row r="487" spans="1:3">
      <c r="A487" s="5"/>
      <c r="B487" s="5"/>
      <c r="C487" s="6">
        <v>208</v>
      </c>
    </row>
    <row r="488" spans="1:3">
      <c r="A488" s="5"/>
      <c r="B488" s="5">
        <v>9</v>
      </c>
      <c r="C488" s="6">
        <v>250</v>
      </c>
    </row>
    <row r="489" spans="1:3">
      <c r="A489" s="5"/>
      <c r="B489" s="5">
        <v>10</v>
      </c>
      <c r="C489" s="6">
        <v>149</v>
      </c>
    </row>
    <row r="490" spans="1:3">
      <c r="A490" s="5"/>
      <c r="B490" s="5">
        <v>11</v>
      </c>
      <c r="C490" s="6">
        <v>78</v>
      </c>
    </row>
    <row r="491" spans="1:3">
      <c r="A491" s="5"/>
      <c r="B491" s="5">
        <v>12</v>
      </c>
      <c r="C491" s="6">
        <v>61</v>
      </c>
    </row>
    <row r="492" spans="1:3">
      <c r="A492" s="5"/>
      <c r="B492" s="5">
        <v>1</v>
      </c>
      <c r="C492" s="6">
        <v>49</v>
      </c>
    </row>
    <row r="493" spans="1:3">
      <c r="A493" s="5"/>
      <c r="B493" s="5">
        <v>2</v>
      </c>
      <c r="C493" s="6">
        <v>47</v>
      </c>
    </row>
    <row r="494" spans="1:3">
      <c r="A494" s="5"/>
      <c r="B494" s="5">
        <v>3</v>
      </c>
      <c r="C494" s="6">
        <v>51</v>
      </c>
    </row>
    <row r="495" spans="1:3">
      <c r="A495" s="5"/>
      <c r="B495" s="5">
        <v>4</v>
      </c>
      <c r="C495" s="6">
        <v>67</v>
      </c>
    </row>
    <row r="496" spans="1:3">
      <c r="A496" s="5"/>
      <c r="B496" s="5">
        <v>5</v>
      </c>
      <c r="C496" s="6">
        <v>93</v>
      </c>
    </row>
    <row r="497" spans="1:3">
      <c r="A497" s="5"/>
      <c r="B497" s="5"/>
      <c r="C497" s="6">
        <v>93</v>
      </c>
    </row>
    <row r="498" spans="1:3">
      <c r="A498" s="5"/>
      <c r="B498" s="5"/>
      <c r="C498" s="6">
        <v>93</v>
      </c>
    </row>
    <row r="499" spans="1:3">
      <c r="A499" s="5"/>
      <c r="B499" s="5">
        <v>6</v>
      </c>
      <c r="C499" s="6">
        <v>104</v>
      </c>
    </row>
    <row r="500" spans="1:3">
      <c r="A500" s="5"/>
      <c r="B500" s="5"/>
      <c r="C500" s="6">
        <v>104</v>
      </c>
    </row>
    <row r="501" spans="1:3">
      <c r="A501" s="5"/>
      <c r="B501" s="5"/>
      <c r="C501" s="6">
        <v>104</v>
      </c>
    </row>
    <row r="502" spans="1:3">
      <c r="A502" s="5">
        <v>1995</v>
      </c>
      <c r="B502" s="5">
        <v>7</v>
      </c>
      <c r="C502" s="6">
        <v>166</v>
      </c>
    </row>
    <row r="503" spans="1:3">
      <c r="A503" s="5"/>
      <c r="B503" s="5"/>
      <c r="C503" s="6">
        <v>166</v>
      </c>
    </row>
    <row r="504" spans="1:3">
      <c r="A504" s="5"/>
      <c r="B504" s="5"/>
      <c r="C504" s="6">
        <v>166</v>
      </c>
    </row>
    <row r="505" spans="1:3">
      <c r="A505" s="5"/>
      <c r="B505" s="5">
        <v>8</v>
      </c>
      <c r="C505" s="6">
        <v>222</v>
      </c>
    </row>
    <row r="506" spans="1:3">
      <c r="A506" s="5"/>
      <c r="B506" s="5"/>
      <c r="C506" s="6">
        <v>222</v>
      </c>
    </row>
    <row r="507" spans="1:3">
      <c r="A507" s="5"/>
      <c r="B507" s="5"/>
      <c r="C507" s="6">
        <v>222</v>
      </c>
    </row>
    <row r="508" spans="1:3">
      <c r="A508" s="5"/>
      <c r="B508" s="5">
        <v>9</v>
      </c>
      <c r="C508" s="6">
        <v>370</v>
      </c>
    </row>
    <row r="509" spans="1:3">
      <c r="A509" s="5"/>
      <c r="B509" s="5">
        <v>10</v>
      </c>
      <c r="C509" s="6">
        <v>139</v>
      </c>
    </row>
    <row r="510" spans="1:3">
      <c r="A510" s="5"/>
      <c r="B510" s="5">
        <v>11</v>
      </c>
      <c r="C510" s="6">
        <v>74</v>
      </c>
    </row>
    <row r="511" spans="1:3">
      <c r="A511" s="5"/>
      <c r="B511" s="5">
        <v>12</v>
      </c>
      <c r="C511" s="6">
        <v>56</v>
      </c>
    </row>
    <row r="512" spans="1:3">
      <c r="A512" s="5"/>
      <c r="B512" s="5">
        <v>1</v>
      </c>
      <c r="C512" s="6">
        <v>51</v>
      </c>
    </row>
    <row r="513" spans="1:3">
      <c r="A513" s="5"/>
      <c r="B513" s="5">
        <v>2</v>
      </c>
      <c r="C513" s="6">
        <v>47</v>
      </c>
    </row>
    <row r="514" spans="1:3">
      <c r="A514" s="5"/>
      <c r="B514" s="5">
        <v>3</v>
      </c>
      <c r="C514" s="6">
        <v>45</v>
      </c>
    </row>
    <row r="515" spans="1:3">
      <c r="A515" s="5"/>
      <c r="B515" s="5">
        <v>4</v>
      </c>
      <c r="C515" s="6">
        <v>101</v>
      </c>
    </row>
    <row r="516" spans="1:3">
      <c r="A516" s="5"/>
      <c r="B516" s="5">
        <v>5</v>
      </c>
      <c r="C516" s="6">
        <v>152</v>
      </c>
    </row>
    <row r="517" spans="1:3">
      <c r="A517" s="5"/>
      <c r="B517" s="5"/>
      <c r="C517" s="6">
        <v>152</v>
      </c>
    </row>
    <row r="518" spans="1:3">
      <c r="A518" s="5"/>
      <c r="B518" s="5"/>
      <c r="C518" s="6">
        <v>152</v>
      </c>
    </row>
    <row r="519" spans="1:3">
      <c r="A519" s="5"/>
      <c r="B519" s="5">
        <v>6</v>
      </c>
      <c r="C519" s="6">
        <v>144</v>
      </c>
    </row>
    <row r="520" spans="1:3">
      <c r="A520" s="5"/>
      <c r="B520" s="5"/>
      <c r="C520" s="6">
        <v>144</v>
      </c>
    </row>
    <row r="521" spans="1:3">
      <c r="A521" s="5"/>
      <c r="B521" s="5"/>
      <c r="C521" s="6">
        <v>144</v>
      </c>
    </row>
    <row r="522" spans="1:3">
      <c r="A522" s="5">
        <v>1996</v>
      </c>
      <c r="B522" s="5">
        <v>7</v>
      </c>
      <c r="C522" s="6">
        <v>199</v>
      </c>
    </row>
    <row r="523" spans="1:3">
      <c r="A523" s="5"/>
      <c r="B523" s="5"/>
      <c r="C523" s="6">
        <v>199</v>
      </c>
    </row>
    <row r="524" spans="1:3">
      <c r="A524" s="5"/>
      <c r="B524" s="5"/>
      <c r="C524" s="6">
        <v>199</v>
      </c>
    </row>
    <row r="525" spans="1:3">
      <c r="A525" s="5"/>
      <c r="B525" s="5">
        <v>8</v>
      </c>
      <c r="C525" s="6">
        <v>339</v>
      </c>
    </row>
    <row r="526" spans="1:3">
      <c r="A526" s="5"/>
      <c r="B526" s="5"/>
      <c r="C526" s="6">
        <v>339</v>
      </c>
    </row>
    <row r="527" spans="1:3">
      <c r="A527" s="5"/>
      <c r="B527" s="5"/>
      <c r="C527" s="6">
        <v>339</v>
      </c>
    </row>
    <row r="528" spans="1:3">
      <c r="A528" s="5"/>
      <c r="B528" s="5">
        <v>9</v>
      </c>
      <c r="C528" s="6">
        <v>193</v>
      </c>
    </row>
    <row r="529" spans="1:3">
      <c r="A529" s="5"/>
      <c r="B529" s="5">
        <v>10</v>
      </c>
      <c r="C529" s="6">
        <v>94</v>
      </c>
    </row>
    <row r="530" spans="1:3">
      <c r="A530" s="5"/>
      <c r="B530" s="5">
        <v>11</v>
      </c>
      <c r="C530" s="6">
        <v>57</v>
      </c>
    </row>
    <row r="531" spans="1:3">
      <c r="A531" s="5"/>
      <c r="B531" s="5">
        <v>12</v>
      </c>
      <c r="C531" s="6">
        <v>52</v>
      </c>
    </row>
    <row r="532" spans="1:3">
      <c r="A532" s="5"/>
      <c r="B532" s="5">
        <v>1</v>
      </c>
      <c r="C532" s="6">
        <v>45</v>
      </c>
    </row>
    <row r="533" spans="1:3">
      <c r="A533" s="5"/>
      <c r="B533" s="5">
        <v>2</v>
      </c>
      <c r="C533" s="6">
        <v>42</v>
      </c>
    </row>
    <row r="534" spans="1:3">
      <c r="A534" s="5"/>
      <c r="B534" s="5">
        <v>3</v>
      </c>
      <c r="C534" s="6">
        <v>41</v>
      </c>
    </row>
    <row r="535" spans="1:3">
      <c r="A535" s="5"/>
      <c r="B535" s="5">
        <v>4</v>
      </c>
      <c r="C535" s="6">
        <v>93</v>
      </c>
    </row>
    <row r="536" spans="1:3">
      <c r="A536" s="5"/>
      <c r="B536" s="5">
        <v>5</v>
      </c>
      <c r="C536" s="6">
        <v>126</v>
      </c>
    </row>
    <row r="537" spans="1:3">
      <c r="A537" s="5"/>
      <c r="B537" s="5"/>
      <c r="C537" s="6">
        <v>126</v>
      </c>
    </row>
    <row r="538" spans="1:3">
      <c r="A538" s="5"/>
      <c r="B538" s="5"/>
      <c r="C538" s="6">
        <v>126</v>
      </c>
    </row>
    <row r="539" spans="1:3">
      <c r="A539" s="5"/>
      <c r="B539" s="5">
        <v>6</v>
      </c>
      <c r="C539" s="6">
        <v>76</v>
      </c>
    </row>
    <row r="540" spans="1:3">
      <c r="A540" s="5"/>
      <c r="B540" s="5"/>
      <c r="C540" s="6">
        <v>76</v>
      </c>
    </row>
    <row r="541" spans="1:3">
      <c r="A541" s="5"/>
      <c r="B541" s="5"/>
      <c r="C541" s="6">
        <v>76</v>
      </c>
    </row>
    <row r="542" spans="1:3">
      <c r="A542" s="5">
        <v>1997</v>
      </c>
      <c r="B542" s="5">
        <v>7</v>
      </c>
      <c r="C542" s="6">
        <v>224</v>
      </c>
    </row>
    <row r="543" spans="1:3">
      <c r="A543" s="5"/>
      <c r="B543" s="5"/>
      <c r="C543" s="6">
        <v>224</v>
      </c>
    </row>
    <row r="544" spans="1:3">
      <c r="A544" s="5"/>
      <c r="B544" s="5"/>
      <c r="C544" s="6">
        <v>224</v>
      </c>
    </row>
    <row r="545" spans="1:3">
      <c r="A545" s="5"/>
      <c r="B545" s="5">
        <v>8</v>
      </c>
      <c r="C545" s="6">
        <v>336</v>
      </c>
    </row>
    <row r="546" spans="1:3">
      <c r="A546" s="5"/>
      <c r="B546" s="5"/>
      <c r="C546" s="6">
        <v>336</v>
      </c>
    </row>
    <row r="547" spans="1:3">
      <c r="A547" s="5"/>
      <c r="B547" s="5"/>
      <c r="C547" s="6">
        <v>336</v>
      </c>
    </row>
    <row r="548" spans="1:3">
      <c r="A548" s="5"/>
      <c r="B548" s="5">
        <v>9</v>
      </c>
      <c r="C548" s="6">
        <v>152</v>
      </c>
    </row>
    <row r="549" spans="1:3">
      <c r="A549" s="5"/>
      <c r="B549" s="5">
        <v>10</v>
      </c>
      <c r="C549" s="6">
        <v>81</v>
      </c>
    </row>
    <row r="550" spans="1:3">
      <c r="A550" s="5"/>
      <c r="B550" s="5">
        <v>11</v>
      </c>
      <c r="C550" s="6">
        <v>57</v>
      </c>
    </row>
    <row r="551" spans="1:3">
      <c r="A551" s="5"/>
      <c r="B551" s="5">
        <v>12</v>
      </c>
      <c r="C551" s="6">
        <v>48</v>
      </c>
    </row>
    <row r="552" spans="1:3">
      <c r="A552" s="5"/>
      <c r="B552" s="5">
        <v>1</v>
      </c>
      <c r="C552" s="6">
        <v>42</v>
      </c>
    </row>
    <row r="553" spans="1:3">
      <c r="A553" s="5"/>
      <c r="B553" s="5">
        <v>2</v>
      </c>
      <c r="C553" s="6">
        <v>43</v>
      </c>
    </row>
    <row r="554" spans="1:3">
      <c r="A554" s="5"/>
      <c r="B554" s="5">
        <v>3</v>
      </c>
      <c r="C554" s="6">
        <v>38</v>
      </c>
    </row>
    <row r="555" spans="1:3">
      <c r="A555" s="5"/>
      <c r="B555" s="5">
        <v>4</v>
      </c>
      <c r="C555" s="6">
        <v>83</v>
      </c>
    </row>
    <row r="556" spans="1:3">
      <c r="A556" s="5"/>
      <c r="B556" s="5">
        <v>5</v>
      </c>
      <c r="C556" s="6">
        <v>46</v>
      </c>
    </row>
    <row r="557" spans="1:3">
      <c r="A557" s="5"/>
      <c r="B557" s="5"/>
      <c r="C557" s="6">
        <v>46</v>
      </c>
    </row>
    <row r="558" spans="1:3">
      <c r="A558" s="5"/>
      <c r="B558" s="5"/>
      <c r="C558" s="6">
        <v>46</v>
      </c>
    </row>
    <row r="559" spans="1:3">
      <c r="A559" s="5"/>
      <c r="B559" s="5">
        <v>6</v>
      </c>
      <c r="C559" s="6">
        <v>142</v>
      </c>
    </row>
    <row r="560" spans="1:3">
      <c r="A560" s="5"/>
      <c r="B560" s="5"/>
      <c r="C560" s="6">
        <v>142</v>
      </c>
    </row>
    <row r="561" spans="1:3">
      <c r="A561" s="5"/>
      <c r="B561" s="5"/>
      <c r="C561" s="6">
        <v>142</v>
      </c>
    </row>
    <row r="562" spans="1:3">
      <c r="A562" s="5">
        <v>1998</v>
      </c>
      <c r="B562" s="5">
        <v>7</v>
      </c>
      <c r="C562" s="6">
        <v>301</v>
      </c>
    </row>
    <row r="563" spans="1:3">
      <c r="A563" s="5"/>
      <c r="B563" s="5"/>
      <c r="C563" s="6">
        <v>301</v>
      </c>
    </row>
    <row r="564" spans="1:3">
      <c r="A564" s="5"/>
      <c r="B564" s="5"/>
      <c r="C564" s="6">
        <v>301</v>
      </c>
    </row>
    <row r="565" spans="1:3">
      <c r="A565" s="5"/>
      <c r="B565" s="5">
        <v>8</v>
      </c>
      <c r="C565" s="6">
        <v>350</v>
      </c>
    </row>
    <row r="566" spans="1:3">
      <c r="A566" s="5"/>
      <c r="B566" s="5"/>
      <c r="C566" s="6">
        <v>350</v>
      </c>
    </row>
    <row r="567" spans="1:3">
      <c r="A567" s="5"/>
      <c r="B567" s="5"/>
      <c r="C567" s="6">
        <v>350</v>
      </c>
    </row>
    <row r="568" spans="1:3">
      <c r="A568" s="5"/>
      <c r="B568" s="5">
        <v>9</v>
      </c>
      <c r="C568" s="6">
        <v>242</v>
      </c>
    </row>
    <row r="569" spans="1:3">
      <c r="A569" s="5"/>
      <c r="B569" s="5">
        <v>10</v>
      </c>
      <c r="C569" s="6">
        <v>156</v>
      </c>
    </row>
    <row r="570" spans="1:3">
      <c r="A570" s="5"/>
      <c r="B570" s="5">
        <v>11</v>
      </c>
      <c r="C570" s="6">
        <v>89</v>
      </c>
    </row>
    <row r="571" spans="1:3">
      <c r="A571" s="5"/>
      <c r="B571" s="5">
        <v>12</v>
      </c>
      <c r="C571" s="6">
        <v>63</v>
      </c>
    </row>
    <row r="572" spans="1:3">
      <c r="A572" s="5"/>
      <c r="B572" s="5">
        <v>1</v>
      </c>
      <c r="C572" s="6">
        <v>45</v>
      </c>
    </row>
    <row r="573" spans="1:3">
      <c r="A573" s="5"/>
      <c r="B573" s="5">
        <v>2</v>
      </c>
      <c r="C573" s="6">
        <v>52</v>
      </c>
    </row>
    <row r="574" spans="1:3">
      <c r="A574" s="5"/>
      <c r="B574" s="5">
        <v>3</v>
      </c>
      <c r="C574" s="6">
        <v>37</v>
      </c>
    </row>
    <row r="575" spans="1:3">
      <c r="A575" s="5"/>
      <c r="B575" s="5">
        <v>4</v>
      </c>
      <c r="C575" s="6">
        <v>53</v>
      </c>
    </row>
    <row r="576" spans="1:3">
      <c r="A576" s="5"/>
      <c r="B576" s="5">
        <v>5</v>
      </c>
      <c r="C576" s="6">
        <v>35</v>
      </c>
    </row>
    <row r="577" spans="1:3">
      <c r="A577" s="5"/>
      <c r="B577" s="5"/>
      <c r="C577" s="6">
        <v>35</v>
      </c>
    </row>
    <row r="578" spans="1:3">
      <c r="A578" s="5"/>
      <c r="B578" s="5"/>
      <c r="C578" s="6">
        <v>35</v>
      </c>
    </row>
    <row r="579" spans="1:3">
      <c r="A579" s="5"/>
      <c r="B579" s="5">
        <v>6</v>
      </c>
      <c r="C579" s="6">
        <v>202</v>
      </c>
    </row>
    <row r="580" spans="1:3">
      <c r="A580" s="5"/>
      <c r="B580" s="5"/>
      <c r="C580" s="6">
        <v>202</v>
      </c>
    </row>
    <row r="581" spans="1:3">
      <c r="A581" s="5"/>
      <c r="B581" s="5"/>
      <c r="C581" s="6">
        <v>202</v>
      </c>
    </row>
    <row r="582" spans="1:3">
      <c r="A582" s="5">
        <v>1999</v>
      </c>
      <c r="B582" s="5">
        <v>7</v>
      </c>
      <c r="C582" s="6">
        <v>377</v>
      </c>
    </row>
    <row r="583" spans="1:3">
      <c r="A583" s="5"/>
      <c r="B583" s="5"/>
      <c r="C583" s="6">
        <v>377</v>
      </c>
    </row>
    <row r="584" spans="1:3">
      <c r="A584" s="5"/>
      <c r="B584" s="5"/>
      <c r="C584" s="6">
        <v>377</v>
      </c>
    </row>
    <row r="585" spans="1:3">
      <c r="A585" s="5"/>
      <c r="B585" s="5">
        <v>8</v>
      </c>
      <c r="C585" s="6">
        <v>291</v>
      </c>
    </row>
    <row r="586" spans="1:3">
      <c r="A586" s="5"/>
      <c r="B586" s="5"/>
      <c r="C586" s="6">
        <v>291</v>
      </c>
    </row>
    <row r="587" spans="1:3">
      <c r="A587" s="5"/>
      <c r="B587" s="5"/>
      <c r="C587" s="6">
        <v>291</v>
      </c>
    </row>
    <row r="588" spans="1:3">
      <c r="A588" s="5"/>
      <c r="B588" s="5">
        <v>9</v>
      </c>
      <c r="C588" s="6">
        <v>205</v>
      </c>
    </row>
    <row r="589" spans="1:3">
      <c r="A589" s="5"/>
      <c r="B589" s="5">
        <v>10</v>
      </c>
      <c r="C589" s="6">
        <v>119</v>
      </c>
    </row>
    <row r="590" spans="1:3">
      <c r="A590" s="5"/>
      <c r="B590" s="5">
        <v>11</v>
      </c>
      <c r="C590" s="6">
        <v>65</v>
      </c>
    </row>
    <row r="591" spans="1:3">
      <c r="A591" s="5"/>
      <c r="B591" s="5">
        <v>12</v>
      </c>
      <c r="C591" s="6">
        <v>52</v>
      </c>
    </row>
    <row r="592" spans="1:3">
      <c r="A592" s="5"/>
      <c r="B592" s="5">
        <v>1</v>
      </c>
      <c r="C592" s="6">
        <v>46</v>
      </c>
    </row>
    <row r="593" spans="1:3">
      <c r="A593" s="5"/>
      <c r="B593" s="5">
        <v>2</v>
      </c>
      <c r="C593" s="6">
        <v>43</v>
      </c>
    </row>
    <row r="594" spans="1:3">
      <c r="A594" s="5"/>
      <c r="B594" s="5">
        <v>3</v>
      </c>
      <c r="C594" s="6">
        <v>45</v>
      </c>
    </row>
    <row r="595" spans="1:3">
      <c r="A595" s="5"/>
      <c r="B595" s="5">
        <v>4</v>
      </c>
      <c r="C595" s="6">
        <v>87</v>
      </c>
    </row>
    <row r="596" spans="1:3">
      <c r="A596" s="5"/>
      <c r="B596" s="5">
        <v>5</v>
      </c>
      <c r="C596" s="6">
        <v>95</v>
      </c>
    </row>
    <row r="597" spans="1:3">
      <c r="A597" s="5"/>
      <c r="B597" s="5"/>
      <c r="C597" s="6">
        <v>95</v>
      </c>
    </row>
    <row r="598" spans="1:3">
      <c r="A598" s="5"/>
      <c r="B598" s="5"/>
      <c r="C598" s="6">
        <v>95</v>
      </c>
    </row>
    <row r="599" spans="1:3">
      <c r="A599" s="5"/>
      <c r="B599" s="5">
        <v>6</v>
      </c>
      <c r="C599" s="6">
        <v>165</v>
      </c>
    </row>
    <row r="600" spans="1:3">
      <c r="A600" s="5"/>
      <c r="B600" s="5"/>
      <c r="C600" s="6">
        <v>165</v>
      </c>
    </row>
    <row r="601" spans="1:3">
      <c r="A601" s="5"/>
      <c r="B601" s="5"/>
      <c r="C601" s="6">
        <v>165</v>
      </c>
    </row>
    <row r="602" spans="1:3">
      <c r="A602" s="5">
        <v>2000</v>
      </c>
      <c r="B602" s="5">
        <v>7</v>
      </c>
      <c r="C602" s="6">
        <v>123</v>
      </c>
    </row>
    <row r="603" spans="1:3">
      <c r="A603" s="5"/>
      <c r="B603" s="5"/>
      <c r="C603" s="6">
        <v>123</v>
      </c>
    </row>
    <row r="604" spans="1:3">
      <c r="A604" s="5"/>
      <c r="B604" s="5"/>
      <c r="C604" s="6">
        <v>123</v>
      </c>
    </row>
    <row r="605" spans="1:3">
      <c r="A605" s="5"/>
      <c r="B605" s="5">
        <v>8</v>
      </c>
      <c r="C605" s="6">
        <v>202</v>
      </c>
    </row>
    <row r="606" spans="1:3">
      <c r="A606" s="5"/>
      <c r="B606" s="5"/>
      <c r="C606" s="6">
        <v>202</v>
      </c>
    </row>
    <row r="607" spans="1:3">
      <c r="A607" s="5"/>
      <c r="B607" s="5"/>
      <c r="C607" s="6">
        <v>202</v>
      </c>
    </row>
    <row r="608" spans="1:3">
      <c r="A608" s="5"/>
      <c r="B608" s="5">
        <v>9</v>
      </c>
      <c r="C608" s="6">
        <v>252</v>
      </c>
    </row>
    <row r="609" spans="1:3">
      <c r="A609" s="5"/>
      <c r="B609" s="5">
        <v>10</v>
      </c>
      <c r="C609" s="6">
        <v>174</v>
      </c>
    </row>
    <row r="610" spans="1:3">
      <c r="A610" s="5"/>
      <c r="B610" s="5">
        <v>11</v>
      </c>
      <c r="C610" s="6">
        <v>69</v>
      </c>
    </row>
    <row r="611" spans="1:3">
      <c r="A611" s="5"/>
      <c r="B611" s="5">
        <v>12</v>
      </c>
      <c r="C611" s="6">
        <v>61</v>
      </c>
    </row>
    <row r="612" spans="1:3">
      <c r="A612" s="5"/>
      <c r="B612" s="5">
        <v>1</v>
      </c>
      <c r="C612" s="6">
        <v>48</v>
      </c>
    </row>
    <row r="613" spans="1:3">
      <c r="A613" s="5"/>
      <c r="B613" s="5">
        <v>2</v>
      </c>
      <c r="C613" s="6">
        <v>45</v>
      </c>
    </row>
    <row r="614" spans="1:3">
      <c r="A614" s="5"/>
      <c r="B614" s="5">
        <v>3</v>
      </c>
      <c r="C614" s="6">
        <v>42</v>
      </c>
    </row>
    <row r="615" spans="1:3">
      <c r="A615" s="5"/>
      <c r="B615" s="5">
        <v>4</v>
      </c>
      <c r="C615" s="6">
        <v>54</v>
      </c>
    </row>
    <row r="616" spans="1:3">
      <c r="A616" s="5"/>
      <c r="B616" s="5">
        <v>5</v>
      </c>
      <c r="C616" s="6">
        <v>44</v>
      </c>
    </row>
    <row r="617" spans="1:3">
      <c r="A617" s="5"/>
      <c r="B617" s="5"/>
      <c r="C617" s="6">
        <v>44</v>
      </c>
    </row>
    <row r="618" spans="1:3">
      <c r="A618" s="5"/>
      <c r="B618" s="5"/>
      <c r="C618" s="6">
        <v>44</v>
      </c>
    </row>
    <row r="619" spans="1:3">
      <c r="A619" s="5"/>
      <c r="B619" s="5">
        <v>6</v>
      </c>
      <c r="C619" s="6">
        <v>62</v>
      </c>
    </row>
    <row r="620" spans="1:3">
      <c r="A620" s="5"/>
      <c r="B620" s="5"/>
      <c r="C620" s="6">
        <v>62</v>
      </c>
    </row>
    <row r="621" spans="1:3">
      <c r="A621" s="5"/>
      <c r="B621" s="5"/>
      <c r="C621" s="6">
        <v>62</v>
      </c>
    </row>
    <row r="622" spans="1:3">
      <c r="A622" s="5">
        <v>2001</v>
      </c>
      <c r="B622" s="5">
        <v>7</v>
      </c>
      <c r="C622" s="6">
        <v>199</v>
      </c>
    </row>
    <row r="623" spans="1:3">
      <c r="A623" s="5"/>
      <c r="B623" s="5"/>
      <c r="C623" s="6">
        <v>199</v>
      </c>
    </row>
    <row r="624" spans="1:3">
      <c r="A624" s="5"/>
      <c r="B624" s="5"/>
      <c r="C624" s="6">
        <v>199</v>
      </c>
    </row>
    <row r="625" spans="1:3">
      <c r="A625" s="5"/>
      <c r="B625" s="5">
        <v>8</v>
      </c>
      <c r="C625" s="6">
        <v>154</v>
      </c>
    </row>
    <row r="626" spans="1:3">
      <c r="A626" s="5"/>
      <c r="B626" s="5"/>
      <c r="C626" s="6">
        <v>154</v>
      </c>
    </row>
    <row r="627" spans="1:3">
      <c r="A627" s="5"/>
      <c r="B627" s="5"/>
      <c r="C627" s="6">
        <v>154</v>
      </c>
    </row>
    <row r="628" spans="1:3">
      <c r="A628" s="5"/>
      <c r="B628" s="5">
        <v>9</v>
      </c>
      <c r="C628" s="6">
        <v>248</v>
      </c>
    </row>
    <row r="629" spans="1:3">
      <c r="A629" s="5"/>
      <c r="B629" s="5">
        <v>10</v>
      </c>
      <c r="C629" s="6">
        <v>157</v>
      </c>
    </row>
    <row r="630" spans="1:3">
      <c r="A630" s="5"/>
      <c r="B630" s="5">
        <v>11</v>
      </c>
      <c r="C630" s="6">
        <v>79</v>
      </c>
    </row>
    <row r="631" spans="1:3">
      <c r="A631" s="5"/>
      <c r="B631" s="5">
        <v>12</v>
      </c>
      <c r="C631" s="6">
        <v>58</v>
      </c>
    </row>
    <row r="632" spans="1:3">
      <c r="A632" s="5"/>
      <c r="B632" s="5">
        <v>1</v>
      </c>
      <c r="C632" s="6">
        <v>47</v>
      </c>
    </row>
    <row r="633" spans="1:3">
      <c r="A633" s="5"/>
      <c r="B633" s="5">
        <v>2</v>
      </c>
      <c r="C633" s="6">
        <v>50</v>
      </c>
    </row>
    <row r="634" spans="1:3">
      <c r="A634" s="5"/>
      <c r="B634" s="5">
        <v>3</v>
      </c>
      <c r="C634" s="6">
        <v>43</v>
      </c>
    </row>
    <row r="635" spans="1:3">
      <c r="A635" s="5"/>
      <c r="B635" s="5">
        <v>4</v>
      </c>
      <c r="C635" s="6">
        <v>65</v>
      </c>
    </row>
    <row r="636" spans="1:3">
      <c r="A636" s="5"/>
      <c r="B636" s="5">
        <v>5</v>
      </c>
      <c r="C636" s="6">
        <v>97</v>
      </c>
    </row>
    <row r="637" spans="1:3">
      <c r="A637" s="5"/>
      <c r="B637" s="5"/>
      <c r="C637" s="6">
        <v>97</v>
      </c>
    </row>
    <row r="638" spans="1:3">
      <c r="A638" s="5"/>
      <c r="B638" s="5"/>
      <c r="C638" s="6">
        <v>97</v>
      </c>
    </row>
    <row r="639" spans="1:3">
      <c r="A639" s="5"/>
      <c r="B639" s="5">
        <v>6</v>
      </c>
      <c r="C639" s="6">
        <v>203</v>
      </c>
    </row>
    <row r="640" spans="1:3">
      <c r="A640" s="5"/>
      <c r="B640" s="5"/>
      <c r="C640" s="6">
        <v>203</v>
      </c>
    </row>
    <row r="641" spans="1:3">
      <c r="A641" s="5"/>
      <c r="B641" s="5"/>
      <c r="C641" s="6">
        <v>203</v>
      </c>
    </row>
    <row r="642" spans="1:3">
      <c r="A642" s="5">
        <v>2002</v>
      </c>
      <c r="B642" s="5">
        <v>7</v>
      </c>
      <c r="C642" s="6">
        <v>221</v>
      </c>
    </row>
    <row r="643" spans="1:3">
      <c r="A643" s="5"/>
      <c r="B643" s="5"/>
      <c r="C643" s="6">
        <v>221</v>
      </c>
    </row>
    <row r="644" spans="1:3">
      <c r="A644" s="5"/>
      <c r="B644" s="5"/>
      <c r="C644" s="6">
        <v>221</v>
      </c>
    </row>
    <row r="645" spans="1:3">
      <c r="A645" s="5"/>
      <c r="B645" s="5">
        <v>8</v>
      </c>
      <c r="C645" s="6">
        <v>188</v>
      </c>
    </row>
    <row r="646" spans="1:3">
      <c r="A646" s="5"/>
      <c r="B646" s="5"/>
      <c r="C646" s="6">
        <v>188</v>
      </c>
    </row>
    <row r="647" spans="1:3">
      <c r="A647" s="5"/>
      <c r="B647" s="5"/>
      <c r="C647" s="6">
        <v>188</v>
      </c>
    </row>
    <row r="648" spans="1:3">
      <c r="A648" s="5"/>
      <c r="B648" s="5">
        <v>9</v>
      </c>
      <c r="C648" s="6">
        <v>155</v>
      </c>
    </row>
    <row r="649" spans="1:3">
      <c r="A649" s="5"/>
      <c r="B649" s="5">
        <v>10</v>
      </c>
      <c r="C649" s="6">
        <v>78</v>
      </c>
    </row>
    <row r="650" spans="1:3">
      <c r="A650" s="5"/>
      <c r="B650" s="5">
        <v>11</v>
      </c>
      <c r="C650" s="6">
        <v>66</v>
      </c>
    </row>
    <row r="651" spans="1:3">
      <c r="A651" s="5"/>
      <c r="B651" s="5">
        <v>12</v>
      </c>
      <c r="C651" s="6">
        <v>53</v>
      </c>
    </row>
    <row r="652" spans="1:3">
      <c r="A652" s="5"/>
      <c r="B652" s="5">
        <v>1</v>
      </c>
      <c r="C652" s="6">
        <v>42</v>
      </c>
    </row>
    <row r="653" spans="1:3">
      <c r="A653" s="5"/>
      <c r="B653" s="5">
        <v>2</v>
      </c>
      <c r="C653" s="6">
        <v>40</v>
      </c>
    </row>
    <row r="654" spans="1:3">
      <c r="A654" s="5"/>
      <c r="B654" s="5">
        <v>3</v>
      </c>
      <c r="C654" s="6">
        <v>36</v>
      </c>
    </row>
    <row r="655" spans="1:3">
      <c r="A655" s="5"/>
      <c r="B655" s="5">
        <v>4</v>
      </c>
      <c r="C655" s="6">
        <v>54</v>
      </c>
    </row>
    <row r="656" spans="1:3">
      <c r="A656" s="5"/>
      <c r="B656" s="5">
        <v>5</v>
      </c>
      <c r="C656" s="6">
        <v>114</v>
      </c>
    </row>
    <row r="657" spans="1:3">
      <c r="A657" s="5"/>
      <c r="B657" s="5"/>
      <c r="C657" s="6">
        <v>114</v>
      </c>
    </row>
    <row r="658" spans="1:3">
      <c r="A658" s="5"/>
      <c r="B658" s="5"/>
      <c r="C658" s="6">
        <v>114</v>
      </c>
    </row>
    <row r="659" spans="1:3">
      <c r="A659" s="5"/>
      <c r="B659" s="5">
        <v>6</v>
      </c>
      <c r="C659" s="6">
        <v>127</v>
      </c>
    </row>
    <row r="660" spans="1:3">
      <c r="A660" s="5"/>
      <c r="B660" s="5"/>
      <c r="C660" s="6">
        <v>127</v>
      </c>
    </row>
    <row r="661" spans="1:3">
      <c r="A661" s="5"/>
      <c r="B661" s="5"/>
      <c r="C661" s="6">
        <v>127</v>
      </c>
    </row>
    <row r="662" spans="1:3">
      <c r="A662" s="5">
        <v>2003</v>
      </c>
      <c r="B662" s="5">
        <v>7</v>
      </c>
      <c r="C662" s="6">
        <v>235</v>
      </c>
    </row>
    <row r="663" spans="1:3">
      <c r="A663" s="5"/>
      <c r="B663" s="5"/>
      <c r="C663" s="6">
        <v>235</v>
      </c>
    </row>
    <row r="664" spans="1:3">
      <c r="A664" s="5"/>
      <c r="B664" s="5"/>
      <c r="C664" s="6">
        <v>235</v>
      </c>
    </row>
    <row r="665" spans="1:3">
      <c r="A665" s="5"/>
      <c r="B665" s="5">
        <v>8</v>
      </c>
      <c r="C665" s="6">
        <v>406</v>
      </c>
    </row>
    <row r="666" spans="1:3">
      <c r="A666" s="5"/>
      <c r="B666" s="5"/>
      <c r="C666" s="6">
        <v>406</v>
      </c>
    </row>
    <row r="667" spans="1:3">
      <c r="A667" s="5"/>
      <c r="B667" s="5"/>
      <c r="C667" s="6">
        <v>406</v>
      </c>
    </row>
    <row r="668" spans="1:3">
      <c r="A668" s="5"/>
      <c r="B668" s="5">
        <v>9</v>
      </c>
      <c r="C668" s="6">
        <v>358</v>
      </c>
    </row>
    <row r="669" spans="1:3">
      <c r="A669" s="5"/>
      <c r="B669" s="5">
        <v>10</v>
      </c>
      <c r="C669" s="6">
        <v>202</v>
      </c>
    </row>
    <row r="670" spans="1:3">
      <c r="A670" s="5"/>
      <c r="B670" s="5">
        <v>11</v>
      </c>
      <c r="C670" s="6">
        <v>98</v>
      </c>
    </row>
    <row r="671" spans="1:3">
      <c r="A671" s="5"/>
      <c r="B671" s="5">
        <v>12</v>
      </c>
      <c r="C671" s="6">
        <v>61</v>
      </c>
    </row>
    <row r="672" spans="1:3">
      <c r="A672" s="5"/>
      <c r="B672" s="5">
        <v>1</v>
      </c>
      <c r="C672" s="6">
        <v>47</v>
      </c>
    </row>
    <row r="673" spans="1:3">
      <c r="A673" s="5"/>
      <c r="B673" s="5">
        <v>2</v>
      </c>
      <c r="C673" s="6">
        <v>47</v>
      </c>
    </row>
    <row r="674" spans="1:3">
      <c r="A674" s="5"/>
      <c r="B674" s="5">
        <v>3</v>
      </c>
      <c r="C674" s="6">
        <v>66</v>
      </c>
    </row>
    <row r="675" spans="1:3">
      <c r="A675" s="5"/>
      <c r="B675" s="5">
        <v>4</v>
      </c>
      <c r="C675" s="6">
        <v>91</v>
      </c>
    </row>
    <row r="676" spans="1:3">
      <c r="A676" s="5"/>
      <c r="B676" s="5">
        <v>5</v>
      </c>
      <c r="C676" s="6">
        <v>85</v>
      </c>
    </row>
    <row r="677" spans="1:3">
      <c r="A677" s="5"/>
      <c r="B677" s="5"/>
      <c r="C677" s="6">
        <v>85</v>
      </c>
    </row>
    <row r="678" spans="1:3">
      <c r="A678" s="5"/>
      <c r="B678" s="5"/>
      <c r="C678" s="6">
        <v>85</v>
      </c>
    </row>
    <row r="679" spans="1:3">
      <c r="A679" s="5"/>
      <c r="B679" s="5">
        <v>6</v>
      </c>
      <c r="C679" s="6">
        <v>100</v>
      </c>
    </row>
    <row r="680" spans="1:3">
      <c r="A680" s="5"/>
      <c r="B680" s="5"/>
      <c r="C680" s="6">
        <v>100</v>
      </c>
    </row>
    <row r="681" spans="1:3">
      <c r="A681" s="5"/>
      <c r="B681" s="5"/>
      <c r="C681" s="6">
        <v>100</v>
      </c>
    </row>
    <row r="682" spans="1:3">
      <c r="A682" s="5">
        <v>2004</v>
      </c>
      <c r="B682" s="5">
        <v>7</v>
      </c>
      <c r="C682" s="6">
        <v>141</v>
      </c>
    </row>
    <row r="683" spans="1:3">
      <c r="A683" s="5"/>
      <c r="B683" s="5"/>
      <c r="C683" s="6">
        <v>141</v>
      </c>
    </row>
    <row r="684" spans="1:3">
      <c r="A684" s="5"/>
      <c r="B684" s="5"/>
      <c r="C684" s="6">
        <v>141</v>
      </c>
    </row>
    <row r="685" spans="1:3">
      <c r="A685" s="5"/>
      <c r="B685" s="5">
        <v>8</v>
      </c>
      <c r="C685" s="6">
        <v>257</v>
      </c>
    </row>
    <row r="686" spans="1:3">
      <c r="A686" s="5"/>
      <c r="B686" s="5"/>
      <c r="C686" s="6">
        <v>257</v>
      </c>
    </row>
    <row r="687" spans="1:3">
      <c r="A687" s="5"/>
      <c r="B687" s="5"/>
      <c r="C687" s="6">
        <v>257</v>
      </c>
    </row>
    <row r="688" spans="1:3">
      <c r="A688" s="5"/>
      <c r="B688" s="5">
        <v>9</v>
      </c>
      <c r="C688" s="6">
        <v>311</v>
      </c>
    </row>
    <row r="689" spans="1:3">
      <c r="A689" s="5"/>
      <c r="B689" s="5">
        <v>10</v>
      </c>
      <c r="C689" s="6">
        <v>163</v>
      </c>
    </row>
    <row r="690" spans="1:3">
      <c r="A690" s="5"/>
      <c r="B690" s="5">
        <v>11</v>
      </c>
      <c r="C690" s="6">
        <v>90</v>
      </c>
    </row>
    <row r="691" spans="1:3">
      <c r="A691" s="5"/>
      <c r="B691" s="5">
        <v>12</v>
      </c>
      <c r="C691" s="6">
        <v>81</v>
      </c>
    </row>
    <row r="692" spans="1:3">
      <c r="A692" s="5"/>
      <c r="B692" s="5">
        <v>1</v>
      </c>
      <c r="C692" s="6">
        <v>68</v>
      </c>
    </row>
    <row r="693" spans="1:3">
      <c r="A693" s="5"/>
      <c r="B693" s="5">
        <v>2</v>
      </c>
      <c r="C693" s="6">
        <v>74</v>
      </c>
    </row>
    <row r="694" spans="1:3">
      <c r="A694" s="5"/>
      <c r="B694" s="5">
        <v>3</v>
      </c>
      <c r="C694" s="6">
        <v>72</v>
      </c>
    </row>
    <row r="695" spans="1:3">
      <c r="A695" s="5"/>
      <c r="B695" s="5">
        <v>4</v>
      </c>
      <c r="C695" s="6">
        <v>114</v>
      </c>
    </row>
    <row r="696" spans="1:3">
      <c r="A696" s="5"/>
      <c r="B696" s="5">
        <v>5</v>
      </c>
      <c r="C696" s="6">
        <v>110</v>
      </c>
    </row>
    <row r="697" spans="1:3">
      <c r="A697" s="5"/>
      <c r="B697" s="5"/>
      <c r="C697" s="6">
        <v>110</v>
      </c>
    </row>
    <row r="698" spans="1:3">
      <c r="A698" s="5"/>
      <c r="B698" s="5"/>
      <c r="C698" s="6">
        <v>110</v>
      </c>
    </row>
    <row r="699" spans="1:3">
      <c r="A699" s="5"/>
      <c r="B699" s="5">
        <v>6</v>
      </c>
      <c r="C699" s="6">
        <v>117</v>
      </c>
    </row>
    <row r="700" spans="1:3">
      <c r="A700" s="5"/>
      <c r="B700" s="5"/>
      <c r="C700" s="6">
        <v>117</v>
      </c>
    </row>
    <row r="701" spans="1:3">
      <c r="A701" s="5"/>
      <c r="B701" s="5"/>
      <c r="C701" s="6">
        <v>117</v>
      </c>
    </row>
    <row r="702" spans="1:3">
      <c r="A702" s="5">
        <v>2005</v>
      </c>
      <c r="B702" s="5">
        <v>7</v>
      </c>
      <c r="C702" s="6">
        <v>239</v>
      </c>
    </row>
    <row r="703" spans="1:3">
      <c r="A703" s="5"/>
      <c r="B703" s="5"/>
      <c r="C703" s="6">
        <v>239</v>
      </c>
    </row>
    <row r="704" spans="1:3">
      <c r="A704" s="5"/>
      <c r="B704" s="5"/>
      <c r="C704" s="6">
        <v>239</v>
      </c>
    </row>
    <row r="705" spans="1:3">
      <c r="A705" s="5"/>
      <c r="B705" s="5">
        <v>8</v>
      </c>
      <c r="C705" s="6">
        <v>294</v>
      </c>
    </row>
    <row r="706" spans="1:3">
      <c r="A706" s="5"/>
      <c r="B706" s="5"/>
      <c r="C706" s="6">
        <v>294</v>
      </c>
    </row>
    <row r="707" spans="1:3">
      <c r="A707" s="5"/>
      <c r="B707" s="5"/>
      <c r="C707" s="6">
        <v>294</v>
      </c>
    </row>
    <row r="708" spans="1:3">
      <c r="A708" s="5"/>
      <c r="B708" s="5">
        <v>9</v>
      </c>
      <c r="C708" s="6">
        <v>249</v>
      </c>
    </row>
    <row r="709" spans="1:3">
      <c r="A709" s="5"/>
      <c r="B709" s="5">
        <v>10</v>
      </c>
      <c r="C709" s="6">
        <v>209</v>
      </c>
    </row>
    <row r="710" spans="1:3">
      <c r="A710" s="5"/>
      <c r="B710" s="5">
        <v>11</v>
      </c>
      <c r="C710" s="6">
        <v>101</v>
      </c>
    </row>
    <row r="711" spans="1:3">
      <c r="A711" s="5"/>
      <c r="B711" s="5">
        <v>12</v>
      </c>
      <c r="C711" s="6">
        <v>76</v>
      </c>
    </row>
    <row r="712" spans="1:3">
      <c r="A712" s="5"/>
      <c r="B712" s="5">
        <v>1</v>
      </c>
      <c r="C712" s="6">
        <v>61</v>
      </c>
    </row>
    <row r="713" spans="1:3">
      <c r="A713" s="5"/>
      <c r="B713" s="5">
        <v>2</v>
      </c>
      <c r="C713" s="6">
        <v>60</v>
      </c>
    </row>
    <row r="714" spans="1:3">
      <c r="A714" s="5"/>
      <c r="B714" s="5">
        <v>3</v>
      </c>
      <c r="C714" s="6">
        <v>52</v>
      </c>
    </row>
    <row r="715" spans="1:3">
      <c r="A715" s="5"/>
      <c r="B715" s="5">
        <v>4</v>
      </c>
      <c r="C715" s="6">
        <v>65</v>
      </c>
    </row>
    <row r="716" spans="1:3">
      <c r="A716" s="5"/>
      <c r="B716" s="5">
        <v>5</v>
      </c>
      <c r="C716" s="6">
        <v>99</v>
      </c>
    </row>
    <row r="717" spans="1:3">
      <c r="A717" s="5"/>
      <c r="B717" s="5"/>
      <c r="C717" s="6">
        <v>99</v>
      </c>
    </row>
    <row r="718" spans="1:3">
      <c r="A718" s="5"/>
      <c r="B718" s="5"/>
      <c r="C718" s="6">
        <v>99</v>
      </c>
    </row>
    <row r="719" spans="1:3">
      <c r="A719" s="5"/>
      <c r="B719" s="5">
        <v>6</v>
      </c>
      <c r="C719" s="6">
        <v>116</v>
      </c>
    </row>
    <row r="720" spans="1:3">
      <c r="A720" s="5"/>
      <c r="B720" s="5"/>
      <c r="C720" s="6">
        <v>116</v>
      </c>
    </row>
    <row r="721" spans="1:3">
      <c r="A721" s="5"/>
      <c r="B721" s="5"/>
      <c r="C721" s="6">
        <v>116</v>
      </c>
    </row>
    <row r="722" spans="1:3">
      <c r="A722" s="5">
        <v>2006</v>
      </c>
      <c r="B722" s="5">
        <v>7</v>
      </c>
      <c r="C722" s="6">
        <v>246</v>
      </c>
    </row>
    <row r="723" spans="1:3">
      <c r="A723" s="5"/>
      <c r="B723" s="5"/>
      <c r="C723" s="6">
        <v>246</v>
      </c>
    </row>
    <row r="724" spans="1:3">
      <c r="A724" s="5"/>
      <c r="B724" s="5"/>
      <c r="C724" s="6">
        <v>246</v>
      </c>
    </row>
    <row r="725" spans="1:3">
      <c r="A725" s="5"/>
      <c r="B725" s="5">
        <v>8</v>
      </c>
      <c r="C725" s="6">
        <v>233</v>
      </c>
    </row>
    <row r="726" spans="1:3">
      <c r="A726" s="5"/>
      <c r="B726" s="5"/>
      <c r="C726" s="6">
        <v>233</v>
      </c>
    </row>
    <row r="727" spans="1:3">
      <c r="A727" s="5"/>
      <c r="B727" s="5"/>
      <c r="C727" s="6">
        <v>233</v>
      </c>
    </row>
    <row r="728" spans="1:3">
      <c r="A728" s="5"/>
      <c r="B728" s="5">
        <v>9</v>
      </c>
      <c r="C728" s="6">
        <v>303</v>
      </c>
    </row>
    <row r="729" spans="1:3">
      <c r="A729" s="5"/>
      <c r="B729" s="5">
        <v>10</v>
      </c>
      <c r="C729" s="6">
        <v>182</v>
      </c>
    </row>
    <row r="730" spans="1:3">
      <c r="A730" s="5"/>
      <c r="B730" s="5">
        <v>11</v>
      </c>
      <c r="C730" s="6">
        <v>97</v>
      </c>
    </row>
    <row r="731" spans="1:3">
      <c r="A731" s="5"/>
      <c r="B731" s="5">
        <v>12</v>
      </c>
      <c r="C731" s="6">
        <v>56</v>
      </c>
    </row>
    <row r="732" spans="1:3">
      <c r="A732" s="5"/>
      <c r="B732" s="5">
        <v>1</v>
      </c>
      <c r="C732" s="6">
        <v>131.30000000000001</v>
      </c>
    </row>
    <row r="733" spans="1:3">
      <c r="A733" s="5"/>
      <c r="B733" s="5">
        <v>2</v>
      </c>
      <c r="C733" s="6">
        <v>75.400000000000006</v>
      </c>
    </row>
    <row r="734" spans="1:3">
      <c r="A734" s="5"/>
      <c r="B734" s="5">
        <v>3</v>
      </c>
      <c r="C734" s="6">
        <v>48.4</v>
      </c>
    </row>
    <row r="735" spans="1:3">
      <c r="A735" s="5"/>
      <c r="B735" s="5">
        <v>4</v>
      </c>
      <c r="C735" s="6">
        <v>48.5</v>
      </c>
    </row>
    <row r="736" spans="1:3">
      <c r="A736" s="5"/>
      <c r="B736" s="5">
        <v>5</v>
      </c>
      <c r="C736" s="6">
        <v>51.9</v>
      </c>
    </row>
    <row r="737" spans="1:3">
      <c r="A737" s="5"/>
      <c r="B737" s="5"/>
      <c r="C737" s="6">
        <v>51.9</v>
      </c>
    </row>
    <row r="738" spans="1:3">
      <c r="A738" s="5"/>
      <c r="B738" s="5"/>
      <c r="C738" s="6">
        <v>51.9</v>
      </c>
    </row>
    <row r="739" spans="1:3">
      <c r="A739" s="5"/>
      <c r="B739" s="5">
        <v>6</v>
      </c>
      <c r="C739" s="6">
        <v>69.8</v>
      </c>
    </row>
    <row r="740" spans="1:3">
      <c r="A740" s="5"/>
      <c r="B740" s="5"/>
      <c r="C740" s="6">
        <v>69.8</v>
      </c>
    </row>
    <row r="741" spans="1:3">
      <c r="A741" s="5"/>
      <c r="B741" s="5"/>
      <c r="C741" s="6">
        <v>69.8</v>
      </c>
    </row>
    <row r="742" spans="1:3">
      <c r="A742" s="5">
        <v>2007</v>
      </c>
      <c r="B742" s="5">
        <v>7</v>
      </c>
      <c r="C742" s="6">
        <v>72.3</v>
      </c>
    </row>
    <row r="743" spans="1:3">
      <c r="A743" s="5"/>
      <c r="B743" s="5"/>
      <c r="C743" s="6">
        <v>72.3</v>
      </c>
    </row>
    <row r="744" spans="1:3">
      <c r="A744" s="5"/>
      <c r="B744" s="5"/>
      <c r="C744" s="6">
        <v>72.3</v>
      </c>
    </row>
    <row r="745" spans="1:3">
      <c r="A745" s="5"/>
      <c r="B745" s="5">
        <v>8</v>
      </c>
      <c r="C745" s="6">
        <v>140.30000000000001</v>
      </c>
    </row>
    <row r="746" spans="1:3">
      <c r="A746" s="5"/>
      <c r="B746" s="5"/>
      <c r="C746" s="6">
        <v>140.30000000000001</v>
      </c>
    </row>
    <row r="747" spans="1:3">
      <c r="A747" s="5"/>
      <c r="B747" s="5"/>
      <c r="C747" s="6">
        <v>140.30000000000001</v>
      </c>
    </row>
    <row r="748" spans="1:3">
      <c r="A748" s="5"/>
      <c r="B748" s="5">
        <v>9</v>
      </c>
      <c r="C748" s="6">
        <v>266.5</v>
      </c>
    </row>
    <row r="749" spans="1:3">
      <c r="A749" s="5"/>
      <c r="B749" s="5">
        <v>10</v>
      </c>
      <c r="C749" s="6">
        <v>245.2</v>
      </c>
    </row>
    <row r="750" spans="1:3">
      <c r="A750" s="5"/>
      <c r="B750" s="5">
        <v>11</v>
      </c>
      <c r="C750" s="6">
        <v>357</v>
      </c>
    </row>
    <row r="751" spans="1:3">
      <c r="A751" s="5"/>
      <c r="B751" s="5">
        <v>12</v>
      </c>
      <c r="C751" s="6">
        <v>237</v>
      </c>
    </row>
    <row r="752" spans="1:3">
      <c r="A752" s="5"/>
      <c r="B752" s="5">
        <v>1</v>
      </c>
      <c r="C752" s="6">
        <v>74.099999999999994</v>
      </c>
    </row>
    <row r="753" spans="1:3">
      <c r="A753" s="5"/>
      <c r="B753" s="5">
        <v>2</v>
      </c>
      <c r="C753" s="6">
        <v>52.9</v>
      </c>
    </row>
    <row r="754" spans="1:3">
      <c r="A754" s="5"/>
      <c r="B754" s="5">
        <v>3</v>
      </c>
      <c r="C754" s="6">
        <v>53.9</v>
      </c>
    </row>
    <row r="755" spans="1:3">
      <c r="A755" s="5"/>
      <c r="B755" s="5">
        <v>4</v>
      </c>
      <c r="C755" s="6">
        <v>49.5</v>
      </c>
    </row>
    <row r="756" spans="1:3">
      <c r="A756" s="5"/>
      <c r="B756" s="5">
        <v>5</v>
      </c>
      <c r="C756" s="6">
        <v>53.2</v>
      </c>
    </row>
    <row r="757" spans="1:3">
      <c r="A757" s="5"/>
      <c r="B757" s="5"/>
      <c r="C757" s="6">
        <v>53.2</v>
      </c>
    </row>
    <row r="758" spans="1:3">
      <c r="A758" s="5"/>
      <c r="B758" s="5"/>
      <c r="C758" s="6">
        <v>53.2</v>
      </c>
    </row>
    <row r="759" spans="1:3">
      <c r="A759" s="5"/>
      <c r="B759" s="5">
        <v>6</v>
      </c>
      <c r="C759" s="6">
        <v>84.7</v>
      </c>
    </row>
    <row r="760" spans="1:3">
      <c r="A760" s="5"/>
      <c r="B760" s="5"/>
      <c r="C760" s="6">
        <v>84.7</v>
      </c>
    </row>
    <row r="761" spans="1:3">
      <c r="A761" s="5"/>
      <c r="B761" s="5"/>
      <c r="C761" s="6">
        <v>84.7</v>
      </c>
    </row>
    <row r="762" spans="1:3">
      <c r="A762" s="5">
        <v>2008</v>
      </c>
      <c r="B762" s="5">
        <v>7</v>
      </c>
      <c r="C762" s="6">
        <v>75.5</v>
      </c>
    </row>
    <row r="763" spans="1:3">
      <c r="A763" s="5"/>
      <c r="B763" s="5"/>
      <c r="C763" s="6">
        <v>75.5</v>
      </c>
    </row>
    <row r="764" spans="1:3">
      <c r="A764" s="5"/>
      <c r="B764" s="5"/>
      <c r="C764" s="6">
        <v>75.5</v>
      </c>
    </row>
    <row r="765" spans="1:3">
      <c r="A765" s="5"/>
      <c r="B765" s="5">
        <v>8</v>
      </c>
      <c r="C765" s="6">
        <v>80.599999999999994</v>
      </c>
    </row>
    <row r="766" spans="1:3">
      <c r="A766" s="5"/>
      <c r="B766" s="5"/>
      <c r="C766" s="6">
        <v>80.599999999999994</v>
      </c>
    </row>
    <row r="767" spans="1:3">
      <c r="A767" s="5"/>
      <c r="B767" s="5"/>
      <c r="C767" s="6">
        <v>80.599999999999994</v>
      </c>
    </row>
    <row r="768" spans="1:3">
      <c r="A768" s="5"/>
      <c r="B768" s="5">
        <v>9</v>
      </c>
      <c r="C768" s="6">
        <v>118.5</v>
      </c>
    </row>
    <row r="769" spans="1:3">
      <c r="A769" s="5"/>
      <c r="B769" s="5">
        <v>10</v>
      </c>
      <c r="C769" s="6">
        <v>261.7</v>
      </c>
    </row>
    <row r="770" spans="1:3">
      <c r="A770" s="5"/>
      <c r="B770" s="5">
        <v>11</v>
      </c>
      <c r="C770" s="6">
        <v>225.1</v>
      </c>
    </row>
    <row r="771" spans="1:3">
      <c r="A771" s="5"/>
      <c r="B771" s="5">
        <v>12</v>
      </c>
      <c r="C771" s="6">
        <v>162.19999999999999</v>
      </c>
    </row>
    <row r="772" spans="1:3">
      <c r="A772" s="5"/>
      <c r="B772" s="5">
        <v>1</v>
      </c>
      <c r="C772" s="6">
        <v>101.6</v>
      </c>
    </row>
    <row r="773" spans="1:3">
      <c r="A773" s="5"/>
      <c r="B773" s="5">
        <v>2</v>
      </c>
      <c r="C773" s="6">
        <v>69.8</v>
      </c>
    </row>
    <row r="774" spans="1:3">
      <c r="A774" s="5"/>
      <c r="B774" s="5">
        <v>3</v>
      </c>
      <c r="C774" s="6">
        <v>53.1</v>
      </c>
    </row>
    <row r="775" spans="1:3">
      <c r="A775" s="5"/>
      <c r="B775" s="5">
        <v>4</v>
      </c>
      <c r="C775" s="6">
        <v>48.9</v>
      </c>
    </row>
    <row r="776" spans="1:3">
      <c r="A776" s="5"/>
      <c r="B776" s="5">
        <v>5</v>
      </c>
      <c r="C776" s="6">
        <v>48.7</v>
      </c>
    </row>
    <row r="777" spans="1:3">
      <c r="A777" s="5"/>
      <c r="B777" s="5"/>
      <c r="C777" s="6">
        <v>48.7</v>
      </c>
    </row>
    <row r="778" spans="1:3">
      <c r="A778" s="5"/>
      <c r="B778" s="5"/>
      <c r="C778" s="6">
        <v>48.7</v>
      </c>
    </row>
    <row r="779" spans="1:3">
      <c r="A779" s="5"/>
      <c r="B779" s="5">
        <v>6</v>
      </c>
      <c r="C779" s="6">
        <v>62</v>
      </c>
    </row>
    <row r="780" spans="1:3">
      <c r="A780" s="5"/>
      <c r="B780" s="5"/>
      <c r="C780" s="6">
        <v>62</v>
      </c>
    </row>
    <row r="781" spans="1:3">
      <c r="A781" s="5"/>
      <c r="B781" s="5"/>
      <c r="C781" s="6">
        <v>62</v>
      </c>
    </row>
    <row r="782" spans="1:3">
      <c r="A782" s="5">
        <v>2009</v>
      </c>
      <c r="B782" s="5">
        <v>7</v>
      </c>
      <c r="C782" s="6">
        <v>87.7</v>
      </c>
    </row>
    <row r="783" spans="1:3">
      <c r="A783" s="5"/>
      <c r="B783" s="5"/>
      <c r="C783" s="6">
        <v>87.7</v>
      </c>
    </row>
    <row r="784" spans="1:3">
      <c r="A784" s="5"/>
      <c r="B784" s="5"/>
      <c r="C784" s="6">
        <v>87.7</v>
      </c>
    </row>
    <row r="785" spans="1:3">
      <c r="A785" s="5"/>
      <c r="B785" s="5">
        <v>8</v>
      </c>
      <c r="C785" s="6">
        <v>94.8</v>
      </c>
    </row>
    <row r="786" spans="1:3">
      <c r="A786" s="5"/>
      <c r="B786" s="5"/>
      <c r="C786" s="6">
        <v>95.8</v>
      </c>
    </row>
    <row r="787" spans="1:3">
      <c r="A787" s="5"/>
      <c r="B787" s="5"/>
      <c r="C787" s="6">
        <v>96.8</v>
      </c>
    </row>
    <row r="788" spans="1:3">
      <c r="A788" s="5"/>
      <c r="B788" s="5">
        <v>9</v>
      </c>
      <c r="C788" s="6">
        <v>228</v>
      </c>
    </row>
    <row r="789" spans="1:3">
      <c r="A789" s="5"/>
      <c r="B789" s="5">
        <v>10</v>
      </c>
      <c r="C789" s="6">
        <v>243.5</v>
      </c>
    </row>
    <row r="790" spans="1:3">
      <c r="A790" s="5"/>
      <c r="B790" s="5">
        <v>11</v>
      </c>
      <c r="C790" s="6">
        <v>330</v>
      </c>
    </row>
    <row r="791" spans="1:3">
      <c r="A791" s="5"/>
      <c r="B791" s="5">
        <v>12</v>
      </c>
      <c r="C791" s="6">
        <v>193.7</v>
      </c>
    </row>
    <row r="792" spans="1:3">
      <c r="A792" s="5"/>
      <c r="B792" s="5">
        <v>1</v>
      </c>
      <c r="C792" s="6">
        <v>81.5</v>
      </c>
    </row>
    <row r="793" spans="1:3">
      <c r="A793" s="5"/>
      <c r="B793" s="5">
        <v>2</v>
      </c>
      <c r="C793" s="6">
        <v>68.599999999999994</v>
      </c>
    </row>
    <row r="794" spans="1:3">
      <c r="A794" s="5"/>
      <c r="B794" s="5">
        <v>3</v>
      </c>
      <c r="C794" s="6">
        <v>59.8</v>
      </c>
    </row>
    <row r="795" spans="1:3">
      <c r="A795" s="5"/>
      <c r="B795" s="5">
        <v>4</v>
      </c>
      <c r="C795" s="6">
        <v>58.2</v>
      </c>
    </row>
    <row r="796" spans="1:3">
      <c r="A796" s="5"/>
      <c r="B796" s="5">
        <v>5</v>
      </c>
      <c r="C796" s="6">
        <v>43.7</v>
      </c>
    </row>
    <row r="797" spans="1:3">
      <c r="A797" s="5"/>
      <c r="B797" s="5"/>
      <c r="C797" s="6">
        <v>43.7</v>
      </c>
    </row>
    <row r="798" spans="1:3">
      <c r="A798" s="5"/>
      <c r="B798" s="5"/>
      <c r="C798" s="6">
        <v>43.7</v>
      </c>
    </row>
    <row r="799" spans="1:3">
      <c r="A799" s="5"/>
      <c r="B799" s="5">
        <v>6</v>
      </c>
      <c r="C799" s="6">
        <v>43.1</v>
      </c>
    </row>
    <row r="800" spans="1:3">
      <c r="A800" s="5"/>
      <c r="B800" s="5"/>
      <c r="C800" s="6">
        <v>43.1</v>
      </c>
    </row>
    <row r="801" spans="1:3">
      <c r="A801" s="5"/>
      <c r="B801" s="5"/>
      <c r="C801" s="6">
        <v>43.1</v>
      </c>
    </row>
    <row r="802" spans="1:3">
      <c r="A802" s="5">
        <v>2010</v>
      </c>
      <c r="B802" s="5">
        <v>7</v>
      </c>
      <c r="C802">
        <v>77.2</v>
      </c>
    </row>
    <row r="803" spans="1:3">
      <c r="A803" s="5"/>
      <c r="B803" s="5"/>
      <c r="C803">
        <v>77.2</v>
      </c>
    </row>
    <row r="804" spans="1:3">
      <c r="A804" s="5"/>
      <c r="B804" s="5"/>
      <c r="C804">
        <v>77.2</v>
      </c>
    </row>
    <row r="805" spans="1:3">
      <c r="A805" s="5"/>
      <c r="B805" s="5">
        <v>8</v>
      </c>
      <c r="C805">
        <v>117.7</v>
      </c>
    </row>
    <row r="806" spans="1:3">
      <c r="A806" s="5"/>
      <c r="B806" s="5"/>
      <c r="C806">
        <v>117.7</v>
      </c>
    </row>
    <row r="807" spans="1:3">
      <c r="A807" s="5"/>
      <c r="B807" s="5"/>
      <c r="C807">
        <v>117.7</v>
      </c>
    </row>
    <row r="808" spans="1:3">
      <c r="A808" s="5"/>
      <c r="B808" s="5">
        <v>9</v>
      </c>
      <c r="C808">
        <v>311.8</v>
      </c>
    </row>
    <row r="809" spans="1:3">
      <c r="A809" s="5"/>
      <c r="B809" s="5">
        <v>10</v>
      </c>
      <c r="C809">
        <v>208.9</v>
      </c>
    </row>
    <row r="810" spans="1:3">
      <c r="A810" s="5"/>
      <c r="B810" s="5">
        <v>11</v>
      </c>
      <c r="C810" s="7">
        <v>69.671052631579002</v>
      </c>
    </row>
    <row r="811" spans="1:3">
      <c r="A811" s="5"/>
      <c r="B811" s="5">
        <v>12</v>
      </c>
      <c r="C811" s="7">
        <v>63.121710526315802</v>
      </c>
    </row>
    <row r="812" spans="1:3">
      <c r="A812" s="5"/>
      <c r="B812" s="5">
        <v>1</v>
      </c>
      <c r="C812" s="7">
        <v>158.940537634409</v>
      </c>
    </row>
    <row r="813" spans="1:3">
      <c r="A813" s="5"/>
      <c r="B813" s="5">
        <v>2</v>
      </c>
      <c r="C813" s="7">
        <v>57.588227513227501</v>
      </c>
    </row>
    <row r="814" spans="1:3">
      <c r="A814" s="5"/>
      <c r="B814" s="5">
        <v>3</v>
      </c>
      <c r="C814" s="7">
        <v>46.588064516129002</v>
      </c>
    </row>
    <row r="815" spans="1:3">
      <c r="A815" s="5"/>
      <c r="B815" s="5">
        <v>4</v>
      </c>
      <c r="C815" s="7">
        <v>82.6395402298851</v>
      </c>
    </row>
    <row r="816" spans="1:3">
      <c r="A816" s="5"/>
      <c r="B816" s="5">
        <v>5</v>
      </c>
      <c r="C816" s="7">
        <v>65.806236559139805</v>
      </c>
    </row>
    <row r="817" spans="1:3">
      <c r="A817" s="5"/>
      <c r="B817" s="5"/>
      <c r="C817" s="7">
        <v>65.806236559139805</v>
      </c>
    </row>
    <row r="818" spans="1:3">
      <c r="A818" s="5"/>
      <c r="B818" s="5"/>
      <c r="C818" s="7">
        <v>65.806236559139805</v>
      </c>
    </row>
    <row r="819" spans="1:3">
      <c r="A819" s="5"/>
      <c r="B819" s="5">
        <v>6</v>
      </c>
      <c r="C819" s="7">
        <v>125.13</v>
      </c>
    </row>
    <row r="820" spans="1:3">
      <c r="A820" s="5"/>
      <c r="B820" s="5"/>
      <c r="C820" s="7">
        <v>125.13</v>
      </c>
    </row>
    <row r="821" spans="1:3">
      <c r="A821" s="5"/>
      <c r="B821" s="5"/>
      <c r="C821" s="7">
        <v>125.13</v>
      </c>
    </row>
    <row r="822" spans="1:3">
      <c r="A822" s="5">
        <v>2011</v>
      </c>
      <c r="B822" s="5">
        <v>7</v>
      </c>
      <c r="C822" s="7">
        <v>242.985698924731</v>
      </c>
    </row>
    <row r="823" spans="1:3">
      <c r="A823" s="5"/>
      <c r="B823" s="5"/>
      <c r="C823" s="7">
        <v>242.985698924731</v>
      </c>
    </row>
    <row r="824" spans="1:3">
      <c r="A824" s="5"/>
      <c r="B824" s="5"/>
      <c r="C824" s="7">
        <v>242.985698924731</v>
      </c>
    </row>
    <row r="825" spans="1:3">
      <c r="A825" s="5"/>
      <c r="B825" s="5">
        <v>8</v>
      </c>
      <c r="C825" s="7">
        <v>276.296774193548</v>
      </c>
    </row>
    <row r="826" spans="1:3">
      <c r="A826" s="5"/>
      <c r="B826" s="5"/>
      <c r="C826" s="7">
        <v>276.296774193548</v>
      </c>
    </row>
    <row r="827" spans="1:3">
      <c r="A827" s="5"/>
      <c r="B827" s="5"/>
      <c r="C827" s="7">
        <v>276.296774193548</v>
      </c>
    </row>
    <row r="828" spans="1:3">
      <c r="A828" s="5"/>
      <c r="B828" s="5">
        <v>9</v>
      </c>
      <c r="C828" s="7">
        <v>280.39999999999998</v>
      </c>
    </row>
    <row r="829" spans="1:3">
      <c r="A829" s="5"/>
      <c r="B829" s="5">
        <v>10</v>
      </c>
      <c r="C829" s="7">
        <v>179.38236559139801</v>
      </c>
    </row>
    <row r="830" spans="1:3">
      <c r="A830" s="5"/>
      <c r="B830" s="5">
        <v>11</v>
      </c>
      <c r="C830" s="7">
        <v>85.92</v>
      </c>
    </row>
    <row r="831" spans="1:3">
      <c r="A831" s="5"/>
      <c r="B831" s="5">
        <v>12</v>
      </c>
      <c r="C831" s="7">
        <v>58.519354838709702</v>
      </c>
    </row>
    <row r="832" spans="1:3">
      <c r="A832" s="5"/>
      <c r="B832" s="5">
        <v>1</v>
      </c>
      <c r="C832" s="7">
        <v>45.274193548387103</v>
      </c>
    </row>
    <row r="833" spans="1:3">
      <c r="A833" s="5"/>
      <c r="B833" s="5">
        <v>2</v>
      </c>
      <c r="C833" s="7">
        <v>41.924137931034501</v>
      </c>
    </row>
    <row r="834" spans="1:3">
      <c r="A834" s="5"/>
      <c r="B834" s="5">
        <v>3</v>
      </c>
      <c r="C834" s="7">
        <v>54.931935483871001</v>
      </c>
    </row>
    <row r="835" spans="1:3">
      <c r="A835" s="5"/>
      <c r="B835" s="5">
        <v>4</v>
      </c>
      <c r="C835" s="7">
        <v>85.69</v>
      </c>
    </row>
    <row r="836" spans="1:3">
      <c r="A836" s="5"/>
      <c r="B836" s="5">
        <v>5</v>
      </c>
      <c r="C836" s="7">
        <v>121.603225806452</v>
      </c>
    </row>
    <row r="837" spans="1:3">
      <c r="A837" s="5"/>
      <c r="B837" s="5"/>
      <c r="C837" s="7">
        <v>121.603225806452</v>
      </c>
    </row>
    <row r="838" spans="1:3">
      <c r="A838" s="5"/>
      <c r="B838" s="5"/>
      <c r="C838" s="7">
        <v>121.603225806452</v>
      </c>
    </row>
    <row r="839" spans="1:3">
      <c r="A839" s="5"/>
      <c r="B839" s="5">
        <v>6</v>
      </c>
      <c r="C839" s="7">
        <v>114.62333333333299</v>
      </c>
    </row>
    <row r="840" spans="1:3">
      <c r="A840" s="5"/>
      <c r="B840" s="5"/>
      <c r="C840" s="7">
        <v>114.62333333333299</v>
      </c>
    </row>
    <row r="841" spans="1:3">
      <c r="A841" s="5"/>
      <c r="B841" s="5"/>
      <c r="C841" s="7">
        <v>114.62333333333299</v>
      </c>
    </row>
    <row r="842" spans="1:3">
      <c r="A842" s="5">
        <v>2012</v>
      </c>
      <c r="B842" s="5">
        <v>7</v>
      </c>
      <c r="C842" s="7">
        <v>301.55161290322599</v>
      </c>
    </row>
    <row r="843" spans="1:3">
      <c r="A843" s="5"/>
      <c r="B843" s="5"/>
      <c r="C843" s="7">
        <v>301.55161290322599</v>
      </c>
    </row>
    <row r="844" spans="1:3">
      <c r="A844" s="5"/>
      <c r="B844" s="5"/>
      <c r="C844" s="7">
        <v>301.55161290322599</v>
      </c>
    </row>
    <row r="845" spans="1:3">
      <c r="A845" s="5"/>
      <c r="B845" s="5">
        <v>8</v>
      </c>
      <c r="C845" s="7">
        <v>403.69677419354798</v>
      </c>
    </row>
    <row r="846" spans="1:3">
      <c r="A846" s="5"/>
      <c r="B846" s="5"/>
      <c r="C846" s="7">
        <v>403.69677419354798</v>
      </c>
    </row>
    <row r="847" spans="1:3">
      <c r="A847" s="5"/>
      <c r="B847" s="5"/>
      <c r="C847" s="7">
        <v>403.69677419354798</v>
      </c>
    </row>
    <row r="848" spans="1:3">
      <c r="A848" s="5"/>
      <c r="B848" s="5">
        <v>9</v>
      </c>
      <c r="C848" s="7">
        <v>276.54333333333301</v>
      </c>
    </row>
    <row r="849" spans="1:3">
      <c r="A849" s="5"/>
      <c r="B849" s="5">
        <v>10</v>
      </c>
      <c r="C849" s="7">
        <v>169.35806451612899</v>
      </c>
    </row>
    <row r="850" spans="1:3">
      <c r="A850" s="5"/>
      <c r="B850" s="5">
        <v>11</v>
      </c>
      <c r="C850" s="7">
        <v>70.25</v>
      </c>
    </row>
    <row r="851" spans="1:3">
      <c r="A851" s="5"/>
      <c r="B851" s="5">
        <v>12</v>
      </c>
      <c r="C851" s="7">
        <v>70.732258064516103</v>
      </c>
    </row>
    <row r="852" spans="1:3">
      <c r="A852" s="5"/>
      <c r="B852" s="5">
        <v>1</v>
      </c>
      <c r="C852" s="7">
        <v>46.362150537634399</v>
      </c>
    </row>
    <row r="853" spans="1:3">
      <c r="A853" s="5"/>
      <c r="B853" s="5">
        <v>2</v>
      </c>
      <c r="C853" s="7">
        <v>48.207142857142898</v>
      </c>
    </row>
    <row r="854" spans="1:3">
      <c r="A854" s="5"/>
      <c r="B854" s="5">
        <v>3</v>
      </c>
      <c r="C854" s="7">
        <v>53.496451612903201</v>
      </c>
    </row>
    <row r="855" spans="1:3">
      <c r="A855" s="5"/>
      <c r="B855" s="5">
        <v>4</v>
      </c>
      <c r="C855" s="7">
        <v>52.057333333333297</v>
      </c>
    </row>
    <row r="856" spans="1:3">
      <c r="A856" s="5"/>
      <c r="B856" s="5">
        <v>5</v>
      </c>
      <c r="C856" s="7">
        <v>67.458064516128999</v>
      </c>
    </row>
    <row r="857" spans="1:3">
      <c r="A857" s="5"/>
      <c r="B857" s="5"/>
      <c r="C857" s="7">
        <v>67.458064516128999</v>
      </c>
    </row>
    <row r="858" spans="1:3">
      <c r="A858" s="5"/>
      <c r="B858" s="5"/>
      <c r="C858" s="7">
        <v>67.458064516128999</v>
      </c>
    </row>
    <row r="859" spans="1:3">
      <c r="A859" s="5"/>
      <c r="B859" s="5">
        <v>6</v>
      </c>
      <c r="C859" s="7">
        <v>148.256666666667</v>
      </c>
    </row>
    <row r="860" spans="1:3">
      <c r="A860" s="5"/>
      <c r="B860" s="5"/>
      <c r="C860" s="7">
        <v>148.256666666667</v>
      </c>
    </row>
    <row r="861" spans="1:3">
      <c r="A861" s="5"/>
      <c r="B861" s="5"/>
      <c r="C861" s="7">
        <v>148.256666666667</v>
      </c>
    </row>
    <row r="862" spans="1:3">
      <c r="A862" s="5">
        <v>2013</v>
      </c>
      <c r="B862" s="5">
        <v>7</v>
      </c>
      <c r="C862" s="7">
        <v>275.16451612903199</v>
      </c>
    </row>
    <row r="863" spans="1:3">
      <c r="A863" s="5"/>
      <c r="B863" s="5"/>
      <c r="C863" s="7">
        <v>275.16451612903199</v>
      </c>
    </row>
    <row r="864" spans="1:3">
      <c r="A864" s="5"/>
      <c r="B864" s="5"/>
      <c r="C864" s="7">
        <v>275.16451612903199</v>
      </c>
    </row>
    <row r="865" spans="1:3">
      <c r="A865" s="5"/>
      <c r="B865" s="5">
        <v>8</v>
      </c>
      <c r="C865" s="7">
        <v>251.624516129032</v>
      </c>
    </row>
    <row r="866" spans="1:3">
      <c r="A866" s="5"/>
      <c r="B866" s="5"/>
      <c r="C866" s="7">
        <v>251.624516129032</v>
      </c>
    </row>
    <row r="867" spans="1:3">
      <c r="A867" s="5"/>
      <c r="B867" s="5"/>
      <c r="C867" s="7">
        <v>251.624516129032</v>
      </c>
    </row>
    <row r="868" spans="1:3">
      <c r="A868" s="5"/>
      <c r="B868" s="5">
        <v>9</v>
      </c>
      <c r="C868" s="7">
        <v>250.15666666666701</v>
      </c>
    </row>
    <row r="869" spans="1:3">
      <c r="A869" s="5"/>
      <c r="B869" s="5">
        <v>10</v>
      </c>
      <c r="C869" s="7">
        <v>266.71935483870999</v>
      </c>
    </row>
    <row r="870" spans="1:3">
      <c r="A870" s="5"/>
      <c r="B870" s="5">
        <v>11</v>
      </c>
      <c r="C870" s="7">
        <v>76.12</v>
      </c>
    </row>
    <row r="871" spans="1:3">
      <c r="A871" s="5"/>
      <c r="B871" s="5">
        <v>12</v>
      </c>
      <c r="C871" s="7">
        <v>71.198709677419401</v>
      </c>
    </row>
    <row r="872" spans="1:3">
      <c r="A872" s="5"/>
      <c r="B872" s="5">
        <v>1</v>
      </c>
      <c r="C872" s="7">
        <v>44.774193548387103</v>
      </c>
    </row>
    <row r="873" spans="1:3">
      <c r="A873" s="5"/>
      <c r="B873" s="5">
        <v>2</v>
      </c>
      <c r="C873" s="7">
        <v>41.970529100529099</v>
      </c>
    </row>
    <row r="874" spans="1:3">
      <c r="A874" s="5"/>
      <c r="B874" s="5">
        <v>3</v>
      </c>
      <c r="C874" s="7">
        <v>34.635322580645202</v>
      </c>
    </row>
    <row r="875" spans="1:3">
      <c r="A875" s="5"/>
      <c r="B875" s="5">
        <v>4</v>
      </c>
      <c r="C875" s="7">
        <v>67.334333333333305</v>
      </c>
    </row>
    <row r="876" spans="1:3">
      <c r="A876" s="5"/>
      <c r="B876" s="5">
        <v>5</v>
      </c>
      <c r="C876" s="7">
        <v>65.039677419354803</v>
      </c>
    </row>
    <row r="877" spans="1:3">
      <c r="A877" s="5"/>
      <c r="B877" s="5"/>
      <c r="C877" s="7">
        <v>65.039677419354803</v>
      </c>
    </row>
    <row r="878" spans="1:3">
      <c r="A878" s="5"/>
      <c r="B878" s="5"/>
      <c r="C878" s="7">
        <v>65.039677419354803</v>
      </c>
    </row>
    <row r="879" spans="1:3">
      <c r="A879" s="5"/>
      <c r="B879" s="5">
        <v>6</v>
      </c>
      <c r="C879" s="7">
        <v>121.621666666667</v>
      </c>
    </row>
    <row r="880" spans="1:3">
      <c r="A880" s="5"/>
      <c r="B880" s="5"/>
      <c r="C880" s="7">
        <v>121.621666666667</v>
      </c>
    </row>
    <row r="881" spans="1:3">
      <c r="A881" s="5"/>
      <c r="B881" s="5"/>
      <c r="C881" s="7">
        <v>121.621666666667</v>
      </c>
    </row>
    <row r="882" spans="1:3">
      <c r="A882" s="5">
        <v>2014</v>
      </c>
      <c r="B882" s="5">
        <v>7</v>
      </c>
      <c r="C882" s="7">
        <v>196.896774193548</v>
      </c>
    </row>
    <row r="883" spans="1:3">
      <c r="A883" s="5"/>
      <c r="B883" s="5"/>
      <c r="C883" s="7">
        <v>196.896774193548</v>
      </c>
    </row>
    <row r="884" spans="1:3">
      <c r="A884" s="5"/>
      <c r="B884" s="5"/>
      <c r="C884" s="7">
        <v>196.896774193548</v>
      </c>
    </row>
    <row r="885" spans="1:3">
      <c r="B885" s="5">
        <v>8</v>
      </c>
      <c r="C885" s="7">
        <v>263.22258064516097</v>
      </c>
    </row>
    <row r="886" spans="1:3">
      <c r="B886" s="5"/>
      <c r="C886" s="7">
        <v>263.22258064516097</v>
      </c>
    </row>
    <row r="887" spans="1:3">
      <c r="B887" s="5"/>
      <c r="C887" s="7">
        <v>263.22258064516097</v>
      </c>
    </row>
    <row r="888" spans="1:3">
      <c r="B888" s="5">
        <v>9</v>
      </c>
      <c r="C888" s="7">
        <v>284.98333333333301</v>
      </c>
    </row>
    <row r="889" spans="1:3">
      <c r="B889" s="5">
        <v>10</v>
      </c>
      <c r="C889" s="7">
        <v>184.62580645161299</v>
      </c>
    </row>
    <row r="890" spans="1:3">
      <c r="B890" s="5">
        <v>11</v>
      </c>
      <c r="C890" s="7">
        <v>119.64</v>
      </c>
    </row>
    <row r="891" spans="1:3">
      <c r="B891" s="5">
        <v>12</v>
      </c>
      <c r="C891" s="7">
        <v>85.4258064516129</v>
      </c>
    </row>
    <row r="892" spans="1:3">
      <c r="B892" s="5">
        <v>1</v>
      </c>
      <c r="C892" s="7">
        <v>77.475870967741898</v>
      </c>
    </row>
    <row r="893" spans="1:3">
      <c r="B893" s="5">
        <v>2</v>
      </c>
      <c r="C893" s="7">
        <v>59.753979018427302</v>
      </c>
    </row>
    <row r="894" spans="1:3">
      <c r="B894" s="5">
        <v>3</v>
      </c>
      <c r="C894" s="7">
        <v>55.889064516128997</v>
      </c>
    </row>
    <row r="895" spans="1:3">
      <c r="B895" s="5">
        <v>4</v>
      </c>
      <c r="C895" s="7">
        <v>68.763000000000005</v>
      </c>
    </row>
    <row r="896" spans="1:3">
      <c r="B896" s="5">
        <v>5</v>
      </c>
      <c r="C896" s="7">
        <v>83.444064516129004</v>
      </c>
    </row>
    <row r="897" spans="1:3">
      <c r="B897" s="5"/>
      <c r="C897" s="7">
        <v>83.444064516129004</v>
      </c>
    </row>
    <row r="898" spans="1:3">
      <c r="B898" s="5"/>
      <c r="C898" s="7">
        <v>83.444064516129004</v>
      </c>
    </row>
    <row r="899" spans="1:3">
      <c r="B899" s="5">
        <v>6</v>
      </c>
      <c r="C899" s="7">
        <v>117.887666666667</v>
      </c>
    </row>
    <row r="900" spans="1:3">
      <c r="B900" s="5"/>
      <c r="C900" s="7">
        <v>117.887666666667</v>
      </c>
    </row>
    <row r="901" spans="1:3">
      <c r="B901" s="5"/>
      <c r="C901" s="7">
        <v>117.887666666667</v>
      </c>
    </row>
    <row r="902" spans="1:3">
      <c r="A902" s="5">
        <v>2015</v>
      </c>
      <c r="B902" s="5">
        <v>7</v>
      </c>
      <c r="C902" s="7">
        <v>239.176774193548</v>
      </c>
    </row>
    <row r="903" spans="1:3">
      <c r="A903" s="5"/>
      <c r="B903" s="5"/>
      <c r="C903" s="7">
        <v>239.176774193548</v>
      </c>
    </row>
    <row r="904" spans="1:3">
      <c r="A904" s="5"/>
      <c r="B904" s="5"/>
      <c r="C904" s="7">
        <v>239.176774193548</v>
      </c>
    </row>
    <row r="905" spans="1:3">
      <c r="B905" s="5">
        <v>8</v>
      </c>
      <c r="C905" s="7">
        <v>251.69096774193599</v>
      </c>
    </row>
    <row r="906" spans="1:3">
      <c r="B906" s="5"/>
      <c r="C906" s="7">
        <v>251.69096774193599</v>
      </c>
    </row>
    <row r="907" spans="1:3">
      <c r="B907" s="5"/>
      <c r="C907" s="7">
        <v>251.69096774193599</v>
      </c>
    </row>
    <row r="908" spans="1:3">
      <c r="B908" s="5">
        <v>9</v>
      </c>
      <c r="C908" s="7">
        <v>255.59933333333299</v>
      </c>
    </row>
    <row r="909" spans="1:3">
      <c r="B909" s="5">
        <v>10</v>
      </c>
      <c r="C909" s="7">
        <v>163.80516129032301</v>
      </c>
    </row>
    <row r="910" spans="1:3">
      <c r="B910" s="5">
        <v>11</v>
      </c>
      <c r="C910" s="7">
        <v>84.861999999999995</v>
      </c>
    </row>
    <row r="911" spans="1:3">
      <c r="B911" s="5">
        <v>12</v>
      </c>
      <c r="C911" s="7">
        <v>79.329032258064501</v>
      </c>
    </row>
    <row r="912" spans="1:3">
      <c r="B912" s="5">
        <v>1</v>
      </c>
      <c r="C912" s="7">
        <v>65.387096774193594</v>
      </c>
    </row>
    <row r="913" spans="1:3">
      <c r="B913" s="5">
        <v>2</v>
      </c>
      <c r="C913" s="7">
        <v>44.731034482758602</v>
      </c>
    </row>
    <row r="914" spans="1:3">
      <c r="B914" s="5">
        <v>3</v>
      </c>
      <c r="C914" s="7">
        <v>46.832258064516097</v>
      </c>
    </row>
    <row r="915" spans="1:3">
      <c r="B915" s="5">
        <v>4</v>
      </c>
      <c r="C915" s="7">
        <v>79.323333333333295</v>
      </c>
    </row>
    <row r="916" spans="1:3">
      <c r="B916" s="5">
        <v>5</v>
      </c>
      <c r="C916" s="7">
        <v>91.5741935483871</v>
      </c>
    </row>
    <row r="917" spans="1:3">
      <c r="B917" s="5"/>
      <c r="C917" s="7">
        <v>91.5741935483871</v>
      </c>
    </row>
    <row r="918" spans="1:3">
      <c r="B918" s="5"/>
      <c r="C918" s="7">
        <v>91.5741935483871</v>
      </c>
    </row>
    <row r="919" spans="1:3">
      <c r="B919" s="5">
        <v>6</v>
      </c>
      <c r="C919" s="7">
        <v>83.283333333333303</v>
      </c>
    </row>
    <row r="920" spans="1:3">
      <c r="A920" s="4"/>
      <c r="B920" s="4"/>
      <c r="C920" s="7">
        <v>83.283333333333303</v>
      </c>
    </row>
    <row r="921" spans="1:3">
      <c r="A921" s="4"/>
      <c r="B921" s="4"/>
      <c r="C921" s="7">
        <v>83.283333333333303</v>
      </c>
    </row>
    <row r="922" spans="1:3">
      <c r="A922" s="4"/>
      <c r="B922" s="4"/>
    </row>
    <row r="923" spans="1:3">
      <c r="A923" s="4"/>
      <c r="B923" s="4"/>
    </row>
    <row r="924" spans="1:3">
      <c r="A924" s="4"/>
      <c r="B924" s="4"/>
    </row>
    <row r="925" spans="1:3">
      <c r="A925" s="4"/>
      <c r="B925" s="4"/>
    </row>
    <row r="926" spans="1:3">
      <c r="A926" s="4"/>
      <c r="B926" s="4"/>
    </row>
    <row r="927" spans="1:3">
      <c r="A927" s="4"/>
      <c r="B927" s="4"/>
    </row>
    <row r="928" spans="1:3">
      <c r="A928" s="4"/>
      <c r="B928" s="4"/>
    </row>
    <row r="929" spans="1:2">
      <c r="A929" s="4"/>
      <c r="B929" s="4"/>
    </row>
    <row r="930" spans="1:2">
      <c r="A930" s="4"/>
      <c r="B930" s="4"/>
    </row>
    <row r="931" spans="1:2">
      <c r="A931" s="4"/>
      <c r="B931" s="4"/>
    </row>
    <row r="932" spans="1:2">
      <c r="A932" s="4"/>
      <c r="B932" s="4"/>
    </row>
    <row r="933" spans="1:2">
      <c r="A933" s="4"/>
      <c r="B933" s="4"/>
    </row>
    <row r="934" spans="1:2">
      <c r="A934" s="4"/>
      <c r="B934" s="4"/>
    </row>
    <row r="935" spans="1:2">
      <c r="A935" s="4"/>
      <c r="B935" s="4"/>
    </row>
    <row r="936" spans="1:2">
      <c r="A936" s="4"/>
      <c r="B936" s="4"/>
    </row>
    <row r="937" spans="1:2">
      <c r="A937" s="4"/>
      <c r="B937" s="4"/>
    </row>
    <row r="938" spans="1:2">
      <c r="A938" s="4"/>
      <c r="B938" s="4"/>
    </row>
    <row r="939" spans="1:2">
      <c r="A939" s="4"/>
      <c r="B939" s="4"/>
    </row>
    <row r="940" spans="1:2">
      <c r="A940" s="4"/>
      <c r="B940" s="4"/>
    </row>
    <row r="941" spans="1:2">
      <c r="A941" s="4"/>
      <c r="B941" s="4"/>
    </row>
    <row r="942" spans="1:2">
      <c r="A942" s="4"/>
      <c r="B942" s="4"/>
    </row>
    <row r="943" spans="1:2">
      <c r="A943" s="4"/>
      <c r="B943" s="4"/>
    </row>
    <row r="944" spans="1:2">
      <c r="A944" s="4"/>
      <c r="B944" s="4"/>
    </row>
    <row r="945" spans="1:2">
      <c r="A945" s="4"/>
      <c r="B945" s="4"/>
    </row>
    <row r="946" spans="1:2">
      <c r="A946" s="4"/>
      <c r="B946" s="4"/>
    </row>
    <row r="947" spans="1:2">
      <c r="A947" s="4"/>
      <c r="B947" s="4"/>
    </row>
    <row r="948" spans="1:2">
      <c r="A948" s="4"/>
      <c r="B948" s="4"/>
    </row>
    <row r="949" spans="1:2">
      <c r="A949" s="4"/>
      <c r="B949" s="4"/>
    </row>
    <row r="950" spans="1:2">
      <c r="A950" s="4"/>
      <c r="B950" s="4"/>
    </row>
    <row r="951" spans="1:2">
      <c r="A951" s="4"/>
      <c r="B951" s="4"/>
    </row>
    <row r="952" spans="1:2">
      <c r="A952" s="4"/>
      <c r="B952" s="4"/>
    </row>
    <row r="953" spans="1:2">
      <c r="A953" s="4"/>
      <c r="B953" s="4"/>
    </row>
    <row r="954" spans="1:2">
      <c r="A954" s="4"/>
      <c r="B954" s="4"/>
    </row>
    <row r="955" spans="1:2">
      <c r="A955" s="4"/>
      <c r="B955" s="4"/>
    </row>
    <row r="956" spans="1:2">
      <c r="A956" s="4"/>
      <c r="B956" s="4"/>
    </row>
    <row r="957" spans="1:2">
      <c r="A957" s="4"/>
      <c r="B957" s="4"/>
    </row>
    <row r="958" spans="1:2">
      <c r="A958" s="4"/>
      <c r="B958" s="4"/>
    </row>
    <row r="959" spans="1:2">
      <c r="A959" s="4"/>
      <c r="B959" s="4"/>
    </row>
    <row r="960" spans="1:2">
      <c r="A960" s="4"/>
      <c r="B960" s="4"/>
    </row>
    <row r="961" spans="1:2">
      <c r="A961" s="4"/>
      <c r="B961" s="4"/>
    </row>
    <row r="962" spans="1:2">
      <c r="A962" s="4"/>
      <c r="B962" s="4"/>
    </row>
    <row r="963" spans="1:2">
      <c r="A963" s="4"/>
      <c r="B963" s="4"/>
    </row>
    <row r="964" spans="1:2">
      <c r="A964" s="4"/>
      <c r="B964" s="4"/>
    </row>
    <row r="965" spans="1:2">
      <c r="A965" s="4"/>
      <c r="B965" s="4"/>
    </row>
    <row r="966" spans="1:2">
      <c r="A966" s="4"/>
      <c r="B966" s="4"/>
    </row>
    <row r="967" spans="1:2">
      <c r="A967" s="4"/>
      <c r="B967" s="4"/>
    </row>
    <row r="968" spans="1:2">
      <c r="A968" s="4"/>
      <c r="B968" s="4"/>
    </row>
    <row r="969" spans="1:2">
      <c r="A969" s="4"/>
      <c r="B969" s="4"/>
    </row>
    <row r="970" spans="1:2">
      <c r="A970" s="4"/>
      <c r="B970" s="4"/>
    </row>
    <row r="971" spans="1:2">
      <c r="A971" s="4"/>
      <c r="B971" s="4"/>
    </row>
    <row r="972" spans="1:2">
      <c r="A972" s="4"/>
      <c r="B972" s="4"/>
    </row>
    <row r="973" spans="1:2">
      <c r="A973" s="4"/>
      <c r="B973" s="4"/>
    </row>
    <row r="974" spans="1:2">
      <c r="A974" s="4"/>
      <c r="B974" s="4"/>
    </row>
    <row r="975" spans="1:2">
      <c r="A975" s="4"/>
      <c r="B975" s="4"/>
    </row>
    <row r="976" spans="1:2">
      <c r="A976" s="4"/>
      <c r="B976" s="4"/>
    </row>
    <row r="977" spans="1:2">
      <c r="A977" s="4"/>
      <c r="B977" s="4"/>
    </row>
    <row r="978" spans="1:2">
      <c r="A978" s="4"/>
      <c r="B978" s="4"/>
    </row>
    <row r="979" spans="1:2">
      <c r="A979" s="4"/>
      <c r="B979" s="4"/>
    </row>
    <row r="980" spans="1:2">
      <c r="A980" s="4"/>
      <c r="B980" s="4"/>
    </row>
    <row r="981" spans="1:2">
      <c r="A981" s="4"/>
      <c r="B981" s="4"/>
    </row>
    <row r="982" spans="1:2">
      <c r="A982" s="4"/>
      <c r="B982" s="4"/>
    </row>
    <row r="983" spans="1:2">
      <c r="A983" s="4"/>
      <c r="B983" s="4"/>
    </row>
    <row r="984" spans="1:2">
      <c r="A984" s="4"/>
      <c r="B984" s="4"/>
    </row>
    <row r="985" spans="1:2">
      <c r="A985" s="4"/>
      <c r="B985" s="4"/>
    </row>
    <row r="986" spans="1:2">
      <c r="A986" s="4"/>
      <c r="B986" s="4"/>
    </row>
    <row r="987" spans="1:2">
      <c r="A987" s="4"/>
      <c r="B987" s="4"/>
    </row>
    <row r="988" spans="1:2">
      <c r="A988" s="4"/>
      <c r="B988" s="4"/>
    </row>
    <row r="989" spans="1:2">
      <c r="A989" s="4"/>
      <c r="B989" s="4"/>
    </row>
    <row r="990" spans="1:2">
      <c r="A990" s="4"/>
      <c r="B990" s="4"/>
    </row>
    <row r="991" spans="1:2">
      <c r="A991" s="4"/>
      <c r="B991" s="4"/>
    </row>
    <row r="992" spans="1:2">
      <c r="A992" s="4"/>
      <c r="B992" s="4"/>
    </row>
    <row r="993" spans="1:2">
      <c r="A993" s="4"/>
      <c r="B993" s="4"/>
    </row>
    <row r="994" spans="1:2">
      <c r="A994" s="4"/>
      <c r="B994" s="4"/>
    </row>
    <row r="995" spans="1:2">
      <c r="A995" s="4"/>
      <c r="B995" s="4"/>
    </row>
    <row r="996" spans="1:2">
      <c r="A996" s="4"/>
      <c r="B996" s="4"/>
    </row>
    <row r="997" spans="1:2">
      <c r="A997" s="4"/>
      <c r="B997" s="4"/>
    </row>
    <row r="998" spans="1:2">
      <c r="A998" s="4"/>
      <c r="B998" s="4"/>
    </row>
    <row r="999" spans="1:2">
      <c r="A999" s="4"/>
      <c r="B999" s="4"/>
    </row>
    <row r="1000" spans="1:2">
      <c r="A1000" s="4"/>
      <c r="B1000" s="4"/>
    </row>
    <row r="1001" spans="1:2">
      <c r="A1001" s="4"/>
      <c r="B1001" s="4"/>
    </row>
    <row r="1002" spans="1:2">
      <c r="A1002" s="4"/>
      <c r="B1002" s="4"/>
    </row>
    <row r="1003" spans="1:2">
      <c r="A1003" s="4"/>
      <c r="B1003" s="4"/>
    </row>
    <row r="1004" spans="1:2">
      <c r="A1004" s="4"/>
      <c r="B1004" s="4"/>
    </row>
    <row r="1005" spans="1:2">
      <c r="A1005" s="4"/>
      <c r="B1005" s="4"/>
    </row>
    <row r="1006" spans="1:2">
      <c r="A1006" s="4"/>
      <c r="B1006" s="4"/>
    </row>
    <row r="1007" spans="1:2">
      <c r="A1007" s="4"/>
      <c r="B1007" s="4"/>
    </row>
    <row r="1008" spans="1:2">
      <c r="A1008" s="4"/>
      <c r="B1008" s="4"/>
    </row>
    <row r="1009" spans="1:2">
      <c r="A1009" s="4"/>
      <c r="B1009" s="4"/>
    </row>
    <row r="1010" spans="1:2">
      <c r="A1010" s="4"/>
      <c r="B1010" s="4"/>
    </row>
    <row r="1011" spans="1:2">
      <c r="A1011" s="4"/>
      <c r="B1011" s="4"/>
    </row>
    <row r="1012" spans="1:2">
      <c r="A1012" s="4"/>
      <c r="B1012" s="4"/>
    </row>
    <row r="1013" spans="1:2">
      <c r="A1013" s="4"/>
      <c r="B1013" s="4"/>
    </row>
    <row r="1014" spans="1:2">
      <c r="A1014" s="4"/>
      <c r="B1014" s="4"/>
    </row>
    <row r="1015" spans="1:2">
      <c r="A1015" s="4"/>
      <c r="B1015" s="4"/>
    </row>
    <row r="1016" spans="1:2">
      <c r="A1016" s="4"/>
      <c r="B1016" s="4"/>
    </row>
    <row r="1017" spans="1:2">
      <c r="A1017" s="4"/>
      <c r="B1017" s="4"/>
    </row>
    <row r="1018" spans="1:2">
      <c r="A1018" s="4"/>
      <c r="B1018" s="4"/>
    </row>
    <row r="1019" spans="1:2">
      <c r="A1019" s="4"/>
      <c r="B1019" s="4"/>
    </row>
  </sheetData>
  <phoneticPr fontId="7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5"/>
  <sheetViews>
    <sheetView workbookViewId="0">
      <selection activeCell="K55" sqref="K55"/>
    </sheetView>
  </sheetViews>
  <sheetFormatPr baseColWidth="10" defaultColWidth="9" defaultRowHeight="15"/>
  <sheetData>
    <row r="1" spans="1:12">
      <c r="A1" t="s">
        <v>115</v>
      </c>
      <c r="B1" t="s">
        <v>116</v>
      </c>
      <c r="C1" t="s">
        <v>117</v>
      </c>
      <c r="D1" t="s">
        <v>118</v>
      </c>
      <c r="H1" t="s">
        <v>115</v>
      </c>
      <c r="I1" t="s">
        <v>116</v>
      </c>
      <c r="J1" t="s">
        <v>117</v>
      </c>
      <c r="K1" t="s">
        <v>118</v>
      </c>
    </row>
    <row r="2" spans="1:12">
      <c r="A2">
        <v>1990</v>
      </c>
      <c r="B2">
        <v>156.91708800000001</v>
      </c>
      <c r="C2">
        <v>18</v>
      </c>
      <c r="D2">
        <f t="shared" ref="D2:D27" si="0">C2/27</f>
        <v>0.66666666666666663</v>
      </c>
      <c r="H2" s="52">
        <v>1970</v>
      </c>
      <c r="I2" s="52">
        <v>138.16828799999999</v>
      </c>
      <c r="J2" s="52">
        <v>51</v>
      </c>
      <c r="K2" s="53">
        <f t="shared" ref="K2:K55" si="1">J2/55</f>
        <v>0.92727272727272725</v>
      </c>
    </row>
    <row r="3" spans="1:12">
      <c r="A3">
        <v>1991</v>
      </c>
      <c r="B3">
        <v>158.48092800000001</v>
      </c>
      <c r="C3">
        <v>17</v>
      </c>
      <c r="D3">
        <f t="shared" si="0"/>
        <v>0.62962962962962965</v>
      </c>
      <c r="H3">
        <v>1971</v>
      </c>
      <c r="I3">
        <v>209.626272</v>
      </c>
      <c r="J3">
        <v>22</v>
      </c>
      <c r="K3" s="54">
        <f t="shared" si="1"/>
        <v>0.4</v>
      </c>
    </row>
    <row r="4" spans="1:12">
      <c r="A4">
        <v>1992</v>
      </c>
      <c r="B4">
        <v>213.61190400000001</v>
      </c>
      <c r="C4">
        <v>7</v>
      </c>
      <c r="D4">
        <f t="shared" si="0"/>
        <v>0.25925925925925924</v>
      </c>
      <c r="H4">
        <v>1972</v>
      </c>
      <c r="I4">
        <v>188.13167999999999</v>
      </c>
      <c r="J4">
        <v>30</v>
      </c>
      <c r="K4" s="54">
        <f t="shared" si="1"/>
        <v>0.54545454545454541</v>
      </c>
    </row>
    <row r="5" spans="1:12">
      <c r="A5">
        <v>1993</v>
      </c>
      <c r="B5">
        <v>216.50889599999999</v>
      </c>
      <c r="C5">
        <v>6</v>
      </c>
      <c r="D5">
        <f t="shared" si="0"/>
        <v>0.22222222222222221</v>
      </c>
      <c r="H5">
        <v>1973</v>
      </c>
      <c r="I5">
        <v>172.62288000000001</v>
      </c>
      <c r="J5">
        <v>36</v>
      </c>
      <c r="K5" s="54">
        <f t="shared" si="1"/>
        <v>0.65454545454545454</v>
      </c>
    </row>
    <row r="6" spans="1:12">
      <c r="A6" s="1">
        <v>1994</v>
      </c>
      <c r="B6">
        <v>144.79516799999999</v>
      </c>
      <c r="C6">
        <v>22</v>
      </c>
      <c r="D6">
        <f t="shared" si="0"/>
        <v>0.81481481481481477</v>
      </c>
      <c r="H6">
        <v>1974</v>
      </c>
      <c r="I6">
        <v>201.07353599999999</v>
      </c>
      <c r="J6">
        <v>26</v>
      </c>
      <c r="K6" s="54">
        <f t="shared" si="1"/>
        <v>0.47272727272727272</v>
      </c>
    </row>
    <row r="7" spans="1:12">
      <c r="A7">
        <v>1995</v>
      </c>
      <c r="B7">
        <v>159.725088</v>
      </c>
      <c r="C7">
        <v>16</v>
      </c>
      <c r="D7">
        <f t="shared" si="0"/>
        <v>0.59259259259259256</v>
      </c>
      <c r="H7">
        <v>1975</v>
      </c>
      <c r="I7">
        <v>315.65375999999998</v>
      </c>
      <c r="J7">
        <v>5</v>
      </c>
      <c r="K7" s="54">
        <f t="shared" si="1"/>
        <v>9.0909090909090912E-2</v>
      </c>
    </row>
    <row r="8" spans="1:12">
      <c r="A8" s="1">
        <v>1996</v>
      </c>
      <c r="B8">
        <v>144.18777600000001</v>
      </c>
      <c r="C8">
        <v>23</v>
      </c>
      <c r="D8">
        <f t="shared" si="0"/>
        <v>0.85185185185185186</v>
      </c>
      <c r="H8">
        <v>1976</v>
      </c>
      <c r="I8">
        <v>268.86038400000001</v>
      </c>
      <c r="J8">
        <v>9</v>
      </c>
      <c r="K8" s="54">
        <f t="shared" si="1"/>
        <v>0.16363636363636364</v>
      </c>
    </row>
    <row r="9" spans="1:12">
      <c r="A9" s="1">
        <v>1997</v>
      </c>
      <c r="B9">
        <v>132.72422399999999</v>
      </c>
      <c r="C9">
        <v>25</v>
      </c>
      <c r="D9">
        <f t="shared" si="0"/>
        <v>0.92592592592592593</v>
      </c>
      <c r="H9" s="55">
        <v>1977</v>
      </c>
      <c r="I9" s="55">
        <v>139.42972800000001</v>
      </c>
      <c r="J9" s="55">
        <v>50</v>
      </c>
      <c r="K9" s="56">
        <f t="shared" si="1"/>
        <v>0.90909090909090906</v>
      </c>
      <c r="L9" s="1" t="s">
        <v>129</v>
      </c>
    </row>
    <row r="10" spans="1:12">
      <c r="A10">
        <v>1998</v>
      </c>
      <c r="B10">
        <v>199.91664</v>
      </c>
      <c r="C10">
        <v>8</v>
      </c>
      <c r="D10">
        <f t="shared" si="0"/>
        <v>0.29629629629629628</v>
      </c>
      <c r="H10">
        <v>1978</v>
      </c>
      <c r="I10">
        <v>180.72806399999999</v>
      </c>
      <c r="J10">
        <v>34</v>
      </c>
      <c r="K10" s="54">
        <f t="shared" si="1"/>
        <v>0.61818181818181817</v>
      </c>
    </row>
    <row r="11" spans="1:12">
      <c r="A11">
        <v>1999</v>
      </c>
      <c r="B11">
        <v>218.03904</v>
      </c>
      <c r="C11">
        <v>5</v>
      </c>
      <c r="D11">
        <f t="shared" si="0"/>
        <v>0.18518518518518517</v>
      </c>
      <c r="H11">
        <v>1979</v>
      </c>
      <c r="I11">
        <v>205.59225599999999</v>
      </c>
      <c r="J11">
        <v>23</v>
      </c>
      <c r="K11" s="54">
        <f t="shared" si="1"/>
        <v>0.41818181818181815</v>
      </c>
    </row>
    <row r="12" spans="1:12">
      <c r="A12">
        <v>2000</v>
      </c>
      <c r="B12">
        <v>151.97587200000001</v>
      </c>
      <c r="C12">
        <v>20</v>
      </c>
      <c r="D12">
        <f t="shared" si="0"/>
        <v>0.7407407407407407</v>
      </c>
      <c r="H12">
        <v>1980</v>
      </c>
      <c r="I12">
        <v>205.01164800000001</v>
      </c>
      <c r="J12">
        <v>24</v>
      </c>
      <c r="K12" s="54">
        <f t="shared" si="1"/>
        <v>0.43636363636363634</v>
      </c>
    </row>
    <row r="13" spans="1:12">
      <c r="A13" s="1">
        <v>2001</v>
      </c>
      <c r="B13">
        <v>137.66198399999999</v>
      </c>
      <c r="C13">
        <v>24</v>
      </c>
      <c r="D13">
        <f t="shared" si="0"/>
        <v>0.88888888888888884</v>
      </c>
      <c r="H13">
        <v>1981</v>
      </c>
      <c r="I13">
        <v>325.59148800000003</v>
      </c>
      <c r="J13">
        <v>3</v>
      </c>
      <c r="K13" s="54">
        <f t="shared" si="1"/>
        <v>5.4545454545454543E-2</v>
      </c>
    </row>
    <row r="14" spans="1:12">
      <c r="A14" s="1">
        <v>2002</v>
      </c>
      <c r="B14">
        <v>99.276969600000001</v>
      </c>
      <c r="C14">
        <v>26</v>
      </c>
      <c r="D14">
        <f t="shared" si="0"/>
        <v>0.96296296296296291</v>
      </c>
      <c r="H14">
        <v>1982</v>
      </c>
      <c r="I14">
        <v>269.79177600000003</v>
      </c>
      <c r="J14">
        <v>8</v>
      </c>
      <c r="K14" s="54">
        <f t="shared" si="1"/>
        <v>0.14545454545454545</v>
      </c>
    </row>
    <row r="15" spans="1:12">
      <c r="A15">
        <v>2003</v>
      </c>
      <c r="B15">
        <v>177.04828800000001</v>
      </c>
      <c r="C15">
        <v>13</v>
      </c>
      <c r="D15">
        <f t="shared" si="0"/>
        <v>0.48148148148148145</v>
      </c>
      <c r="H15">
        <v>1983</v>
      </c>
      <c r="I15">
        <v>298.49385599999999</v>
      </c>
      <c r="J15">
        <v>6</v>
      </c>
      <c r="K15" s="54">
        <f t="shared" si="1"/>
        <v>0.10909090909090909</v>
      </c>
    </row>
    <row r="16" spans="1:12">
      <c r="A16">
        <v>2004</v>
      </c>
      <c r="B16">
        <v>165.01881599999999</v>
      </c>
      <c r="C16">
        <v>15</v>
      </c>
      <c r="D16">
        <f t="shared" si="0"/>
        <v>0.55555555555555558</v>
      </c>
      <c r="H16">
        <v>1984</v>
      </c>
      <c r="I16">
        <v>216.46915200000001</v>
      </c>
      <c r="J16">
        <v>19</v>
      </c>
      <c r="K16" s="54">
        <f t="shared" si="1"/>
        <v>0.34545454545454546</v>
      </c>
    </row>
    <row r="17" spans="1:13">
      <c r="A17">
        <v>2005</v>
      </c>
      <c r="B17">
        <v>238.69976832</v>
      </c>
      <c r="C17">
        <v>2</v>
      </c>
      <c r="D17">
        <f t="shared" si="0"/>
        <v>7.407407407407407E-2</v>
      </c>
      <c r="H17">
        <v>1985</v>
      </c>
      <c r="I17">
        <v>244.77119999999999</v>
      </c>
      <c r="J17">
        <v>11</v>
      </c>
      <c r="K17" s="54">
        <f t="shared" si="1"/>
        <v>0.2</v>
      </c>
    </row>
    <row r="18" spans="1:13">
      <c r="A18">
        <v>2006</v>
      </c>
      <c r="B18">
        <v>155.74464</v>
      </c>
      <c r="C18">
        <v>19</v>
      </c>
      <c r="D18">
        <f t="shared" si="0"/>
        <v>0.70370370370370372</v>
      </c>
      <c r="H18">
        <v>1986</v>
      </c>
      <c r="I18">
        <v>184.77417600000001</v>
      </c>
      <c r="J18">
        <v>31</v>
      </c>
      <c r="K18" s="54">
        <f t="shared" si="1"/>
        <v>0.5636363636363636</v>
      </c>
    </row>
    <row r="19" spans="1:13">
      <c r="A19">
        <v>2007</v>
      </c>
      <c r="B19">
        <v>166.86604800000001</v>
      </c>
      <c r="C19">
        <v>14</v>
      </c>
      <c r="D19">
        <f t="shared" si="0"/>
        <v>0.51851851851851849</v>
      </c>
      <c r="H19">
        <v>1987</v>
      </c>
      <c r="I19">
        <v>165.53116800000001</v>
      </c>
      <c r="J19">
        <v>39</v>
      </c>
      <c r="K19" s="54">
        <f t="shared" si="1"/>
        <v>0.70909090909090911</v>
      </c>
    </row>
    <row r="20" spans="1:13">
      <c r="A20">
        <v>2008</v>
      </c>
      <c r="B20">
        <v>183.38564160000001</v>
      </c>
      <c r="C20">
        <v>11</v>
      </c>
      <c r="D20">
        <f t="shared" si="0"/>
        <v>0.40740740740740738</v>
      </c>
      <c r="H20">
        <v>1988</v>
      </c>
      <c r="I20">
        <v>222.48604800000001</v>
      </c>
      <c r="J20">
        <v>16</v>
      </c>
      <c r="K20" s="54">
        <f t="shared" si="1"/>
        <v>0.29090909090909089</v>
      </c>
    </row>
    <row r="21" spans="1:13">
      <c r="A21">
        <v>2009</v>
      </c>
      <c r="B21">
        <v>228.85398720000001</v>
      </c>
      <c r="C21">
        <v>3</v>
      </c>
      <c r="D21">
        <f t="shared" si="0"/>
        <v>0.1111111111111111</v>
      </c>
      <c r="H21">
        <v>1989</v>
      </c>
      <c r="I21">
        <v>288.13795199999998</v>
      </c>
      <c r="J21">
        <v>7</v>
      </c>
      <c r="K21" s="54">
        <f t="shared" si="1"/>
        <v>0.12727272727272726</v>
      </c>
    </row>
    <row r="22" spans="1:13">
      <c r="A22">
        <v>2010</v>
      </c>
      <c r="B22">
        <v>190.37</v>
      </c>
      <c r="C22">
        <v>10</v>
      </c>
      <c r="D22">
        <f t="shared" si="0"/>
        <v>0.37037037037037035</v>
      </c>
      <c r="H22" s="52">
        <v>1990</v>
      </c>
      <c r="I22" s="52">
        <v>156.91708800000001</v>
      </c>
      <c r="J22" s="52">
        <v>43</v>
      </c>
      <c r="K22" s="53">
        <f t="shared" si="1"/>
        <v>0.78181818181818186</v>
      </c>
      <c r="M22" s="72" t="s">
        <v>130</v>
      </c>
    </row>
    <row r="23" spans="1:13">
      <c r="A23">
        <v>2011</v>
      </c>
      <c r="B23">
        <v>225.76</v>
      </c>
      <c r="C23">
        <v>4</v>
      </c>
      <c r="D23">
        <f t="shared" si="0"/>
        <v>0.14814814814814814</v>
      </c>
      <c r="H23">
        <v>1991</v>
      </c>
      <c r="I23">
        <v>158.48092800000001</v>
      </c>
      <c r="J23">
        <v>42</v>
      </c>
      <c r="K23" s="54">
        <f t="shared" si="1"/>
        <v>0.76363636363636367</v>
      </c>
      <c r="M23" s="72"/>
    </row>
    <row r="24" spans="1:13">
      <c r="A24">
        <v>2012</v>
      </c>
      <c r="B24">
        <v>268.60000000000002</v>
      </c>
      <c r="C24">
        <v>1</v>
      </c>
      <c r="D24">
        <f t="shared" si="0"/>
        <v>3.7037037037037035E-2</v>
      </c>
      <c r="H24">
        <v>1992</v>
      </c>
      <c r="I24">
        <v>213.61190400000001</v>
      </c>
      <c r="J24">
        <v>20</v>
      </c>
      <c r="K24" s="54">
        <f t="shared" si="1"/>
        <v>0.36363636363636365</v>
      </c>
      <c r="M24" s="72"/>
    </row>
    <row r="25" spans="1:13">
      <c r="A25">
        <v>2013</v>
      </c>
      <c r="B25">
        <v>181.81</v>
      </c>
      <c r="C25">
        <v>12</v>
      </c>
      <c r="D25">
        <f t="shared" si="0"/>
        <v>0.44444444444444442</v>
      </c>
      <c r="H25">
        <v>1993</v>
      </c>
      <c r="I25">
        <v>216.50889599999999</v>
      </c>
      <c r="J25">
        <v>18</v>
      </c>
      <c r="K25" s="54">
        <f t="shared" si="1"/>
        <v>0.32727272727272727</v>
      </c>
      <c r="M25" s="72"/>
    </row>
    <row r="26" spans="1:13">
      <c r="A26">
        <v>2014</v>
      </c>
      <c r="B26">
        <v>191.11</v>
      </c>
      <c r="C26">
        <v>9</v>
      </c>
      <c r="D26">
        <f t="shared" si="0"/>
        <v>0.33333333333333331</v>
      </c>
      <c r="H26" s="52">
        <v>1994</v>
      </c>
      <c r="I26" s="52">
        <v>144.79516799999999</v>
      </c>
      <c r="J26" s="52">
        <v>47</v>
      </c>
      <c r="K26" s="53">
        <f t="shared" si="1"/>
        <v>0.8545454545454545</v>
      </c>
      <c r="M26" s="72"/>
    </row>
    <row r="27" spans="1:13">
      <c r="A27" s="1">
        <v>2015</v>
      </c>
      <c r="B27">
        <v>145.44999999999999</v>
      </c>
      <c r="C27">
        <v>21</v>
      </c>
      <c r="D27">
        <f t="shared" si="0"/>
        <v>0.77777777777777779</v>
      </c>
      <c r="H27">
        <v>1995</v>
      </c>
      <c r="I27">
        <v>159.725088</v>
      </c>
      <c r="J27">
        <v>41</v>
      </c>
      <c r="K27" s="54">
        <f t="shared" si="1"/>
        <v>0.74545454545454548</v>
      </c>
      <c r="M27" s="72"/>
    </row>
    <row r="28" spans="1:13">
      <c r="H28" s="52">
        <v>1996</v>
      </c>
      <c r="I28" s="52">
        <v>144.18777600000001</v>
      </c>
      <c r="J28" s="52">
        <v>48</v>
      </c>
      <c r="K28" s="53">
        <f t="shared" si="1"/>
        <v>0.87272727272727268</v>
      </c>
      <c r="M28" s="72"/>
    </row>
    <row r="29" spans="1:13">
      <c r="H29" s="57">
        <v>1997</v>
      </c>
      <c r="I29" s="57">
        <v>132.72422399999999</v>
      </c>
      <c r="J29" s="57">
        <v>53</v>
      </c>
      <c r="K29" s="58">
        <f t="shared" si="1"/>
        <v>0.96363636363636362</v>
      </c>
      <c r="L29" s="59" t="s">
        <v>131</v>
      </c>
      <c r="M29" s="72"/>
    </row>
    <row r="30" spans="1:13">
      <c r="H30">
        <v>1998</v>
      </c>
      <c r="I30">
        <v>199.91664</v>
      </c>
      <c r="J30">
        <v>27</v>
      </c>
      <c r="K30" s="54">
        <f t="shared" si="1"/>
        <v>0.49090909090909091</v>
      </c>
      <c r="M30" s="72"/>
    </row>
    <row r="31" spans="1:13">
      <c r="H31">
        <v>1999</v>
      </c>
      <c r="I31">
        <v>218.03904</v>
      </c>
      <c r="J31">
        <v>17</v>
      </c>
      <c r="K31" s="54">
        <f t="shared" si="1"/>
        <v>0.30909090909090908</v>
      </c>
      <c r="M31" s="72"/>
    </row>
    <row r="32" spans="1:13">
      <c r="H32" s="52">
        <v>2000</v>
      </c>
      <c r="I32" s="52">
        <v>151.97587200000001</v>
      </c>
      <c r="J32" s="52">
        <v>45</v>
      </c>
      <c r="K32" s="53">
        <f t="shared" si="1"/>
        <v>0.81818181818181823</v>
      </c>
      <c r="M32" s="72"/>
    </row>
    <row r="33" spans="8:13">
      <c r="H33" s="52">
        <v>2001</v>
      </c>
      <c r="I33" s="52">
        <v>137.66198399999999</v>
      </c>
      <c r="J33" s="52">
        <v>52</v>
      </c>
      <c r="K33" s="53">
        <f t="shared" si="1"/>
        <v>0.94545454545454544</v>
      </c>
      <c r="M33" s="72"/>
    </row>
    <row r="34" spans="8:13">
      <c r="H34" s="60">
        <v>2002</v>
      </c>
      <c r="I34" s="60">
        <v>99.276969600000001</v>
      </c>
      <c r="J34" s="60">
        <v>54</v>
      </c>
      <c r="K34" s="61">
        <f t="shared" si="1"/>
        <v>0.98181818181818181</v>
      </c>
      <c r="L34" s="62" t="s">
        <v>132</v>
      </c>
      <c r="M34" s="72"/>
    </row>
    <row r="35" spans="8:13">
      <c r="H35">
        <v>2003</v>
      </c>
      <c r="I35">
        <v>177.04828800000001</v>
      </c>
      <c r="J35">
        <v>35</v>
      </c>
      <c r="K35" s="54">
        <f t="shared" si="1"/>
        <v>0.63636363636363635</v>
      </c>
    </row>
    <row r="36" spans="8:13">
      <c r="H36">
        <v>2004</v>
      </c>
      <c r="I36">
        <v>165.01881599999999</v>
      </c>
      <c r="J36">
        <v>40</v>
      </c>
      <c r="K36" s="54">
        <f t="shared" si="1"/>
        <v>0.72727272727272729</v>
      </c>
    </row>
    <row r="37" spans="8:13">
      <c r="H37">
        <v>2005</v>
      </c>
      <c r="I37">
        <v>238.69976832</v>
      </c>
      <c r="J37">
        <v>13</v>
      </c>
      <c r="K37" s="54">
        <f t="shared" si="1"/>
        <v>0.23636363636363636</v>
      </c>
    </row>
    <row r="38" spans="8:13">
      <c r="H38" s="52">
        <v>2006</v>
      </c>
      <c r="I38" s="52">
        <v>155.74464</v>
      </c>
      <c r="J38" s="52">
        <v>44</v>
      </c>
      <c r="K38" s="53">
        <f t="shared" si="1"/>
        <v>0.8</v>
      </c>
    </row>
    <row r="39" spans="8:13">
      <c r="H39">
        <v>2007</v>
      </c>
      <c r="I39">
        <v>166.86604800000001</v>
      </c>
      <c r="J39">
        <v>38</v>
      </c>
      <c r="K39" s="54">
        <f t="shared" si="1"/>
        <v>0.69090909090909092</v>
      </c>
    </row>
    <row r="40" spans="8:13">
      <c r="H40">
        <v>2008</v>
      </c>
      <c r="I40">
        <v>183.38564160000001</v>
      </c>
      <c r="J40">
        <v>32</v>
      </c>
      <c r="K40" s="54">
        <f t="shared" si="1"/>
        <v>0.58181818181818179</v>
      </c>
    </row>
    <row r="41" spans="8:13">
      <c r="H41">
        <v>2009</v>
      </c>
      <c r="I41">
        <v>228.85398720000001</v>
      </c>
      <c r="J41">
        <v>14</v>
      </c>
      <c r="K41" s="54">
        <f t="shared" si="1"/>
        <v>0.25454545454545452</v>
      </c>
    </row>
    <row r="42" spans="8:13">
      <c r="H42">
        <v>2010</v>
      </c>
      <c r="I42">
        <v>190.37</v>
      </c>
      <c r="J42">
        <v>29</v>
      </c>
      <c r="K42" s="54">
        <f t="shared" si="1"/>
        <v>0.52727272727272723</v>
      </c>
    </row>
    <row r="43" spans="8:13">
      <c r="H43">
        <v>2011</v>
      </c>
      <c r="I43">
        <v>225.76</v>
      </c>
      <c r="J43">
        <v>15</v>
      </c>
      <c r="K43" s="54">
        <f t="shared" si="1"/>
        <v>0.27272727272727271</v>
      </c>
    </row>
    <row r="44" spans="8:13">
      <c r="H44">
        <v>2012</v>
      </c>
      <c r="I44">
        <v>268.60000000000002</v>
      </c>
      <c r="J44">
        <v>10</v>
      </c>
      <c r="K44" s="54">
        <f t="shared" si="1"/>
        <v>0.18181818181818182</v>
      </c>
    </row>
    <row r="45" spans="8:13">
      <c r="H45">
        <v>2013</v>
      </c>
      <c r="I45">
        <v>181.81</v>
      </c>
      <c r="J45">
        <v>33</v>
      </c>
      <c r="K45" s="54">
        <f t="shared" si="1"/>
        <v>0.6</v>
      </c>
    </row>
    <row r="46" spans="8:13">
      <c r="H46">
        <v>2014</v>
      </c>
      <c r="I46">
        <v>191.11</v>
      </c>
      <c r="J46">
        <v>28</v>
      </c>
      <c r="K46" s="54">
        <f t="shared" si="1"/>
        <v>0.50909090909090904</v>
      </c>
    </row>
    <row r="47" spans="8:13">
      <c r="H47" s="52">
        <v>2015</v>
      </c>
      <c r="I47" s="52">
        <v>145.44999999999999</v>
      </c>
      <c r="J47" s="52">
        <v>46</v>
      </c>
      <c r="K47" s="53">
        <f t="shared" si="1"/>
        <v>0.83636363636363631</v>
      </c>
    </row>
    <row r="48" spans="8:13">
      <c r="H48" s="52">
        <v>2016</v>
      </c>
      <c r="I48" s="52">
        <v>143.20005119999999</v>
      </c>
      <c r="J48" s="52">
        <v>49</v>
      </c>
      <c r="K48" s="53">
        <f t="shared" si="1"/>
        <v>0.89090909090909087</v>
      </c>
    </row>
    <row r="49" spans="8:11">
      <c r="H49">
        <v>2017</v>
      </c>
      <c r="I49">
        <v>204.56437248</v>
      </c>
      <c r="J49">
        <v>25</v>
      </c>
      <c r="K49" s="54">
        <f t="shared" si="1"/>
        <v>0.45454545454545453</v>
      </c>
    </row>
    <row r="50" spans="8:11">
      <c r="H50">
        <v>2018</v>
      </c>
      <c r="I50">
        <v>317.20649932800097</v>
      </c>
      <c r="J50">
        <v>4</v>
      </c>
      <c r="K50" s="54">
        <f t="shared" si="1"/>
        <v>7.2727272727272724E-2</v>
      </c>
    </row>
    <row r="51" spans="8:11">
      <c r="H51">
        <v>2019</v>
      </c>
      <c r="I51">
        <v>375.81634713600101</v>
      </c>
      <c r="J51">
        <v>1</v>
      </c>
      <c r="K51" s="54">
        <f t="shared" si="1"/>
        <v>1.8181818181818181E-2</v>
      </c>
    </row>
    <row r="52" spans="8:11">
      <c r="H52">
        <v>2020</v>
      </c>
      <c r="I52">
        <v>357.93152225280102</v>
      </c>
      <c r="J52">
        <v>2</v>
      </c>
      <c r="K52" s="54">
        <f t="shared" si="1"/>
        <v>3.6363636363636362E-2</v>
      </c>
    </row>
    <row r="53" spans="8:11">
      <c r="H53">
        <v>2021</v>
      </c>
      <c r="I53">
        <v>211.4643456</v>
      </c>
      <c r="J53">
        <v>21</v>
      </c>
      <c r="K53" s="54">
        <f t="shared" si="1"/>
        <v>0.38181818181818183</v>
      </c>
    </row>
    <row r="54" spans="8:11">
      <c r="H54">
        <v>2022</v>
      </c>
      <c r="I54">
        <v>170.769793171819</v>
      </c>
      <c r="J54">
        <v>37</v>
      </c>
      <c r="K54" s="54">
        <f t="shared" si="1"/>
        <v>0.67272727272727273</v>
      </c>
    </row>
    <row r="55" spans="8:11">
      <c r="H55">
        <v>2023</v>
      </c>
      <c r="I55">
        <v>241.43367586177899</v>
      </c>
      <c r="J55">
        <v>12</v>
      </c>
      <c r="K55" s="54">
        <f t="shared" si="1"/>
        <v>0.21818181818181817</v>
      </c>
    </row>
  </sheetData>
  <sortState xmlns:xlrd2="http://schemas.microsoft.com/office/spreadsheetml/2017/richdata2" ref="A2:D27">
    <sortCondition ref="A2:A27"/>
  </sortState>
  <mergeCells count="1">
    <mergeCell ref="M22:M34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LONGLIU-BOUND</vt:lpstr>
      <vt:lpstr>LAN</vt:lpstr>
      <vt:lpstr>LAN-unagr</vt:lpstr>
      <vt:lpstr>LAN-agr</vt:lpstr>
      <vt:lpstr>longliu_water</vt:lpstr>
      <vt:lpstr>liulan_water</vt:lpstr>
      <vt:lpstr>xixian_up</vt:lpstr>
      <vt:lpstr>xixian_down</vt:lpstr>
      <vt:lpstr>Q_eco</vt:lpstr>
      <vt:lpstr>LONG-ZQ</vt:lpstr>
      <vt:lpstr>LONG-ZV</vt:lpstr>
      <vt:lpstr>LIU-ZQ</vt:lpstr>
      <vt:lpstr>LIU-ZV</vt:lpstr>
      <vt:lpstr>CANSHU</vt:lpstr>
      <vt:lpstr>LONGIN</vt:lpstr>
      <vt:lpstr>LONG-LIU</vt:lpstr>
      <vt:lpstr>LIU-LAN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Dong</cp:lastModifiedBy>
  <dcterms:created xsi:type="dcterms:W3CDTF">2015-06-05T18:19:00Z</dcterms:created>
  <dcterms:modified xsi:type="dcterms:W3CDTF">2025-07-07T03:04:02Z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