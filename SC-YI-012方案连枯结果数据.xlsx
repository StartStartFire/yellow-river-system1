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F:\Model\Temp\黄河上游水库群联合调度情景库（多年连丰、连枯情景结果）\"/>
    </mc:Choice>
  </mc:AlternateContent>
  <xr:revisionPtr revIDLastSave="0" documentId="13_ncr:1_{FB76DB3E-7D82-4E17-AB49-7FC3ADD14D76}" xr6:coauthVersionLast="47" xr6:coauthVersionMax="47" xr10:uidLastSave="{00000000-0000-0000-0000-000000000000}"/>
  <bookViews>
    <workbookView xWindow="-108" yWindow="-108" windowWidth="30936" windowHeight="16896" tabRatio="708" xr2:uid="{00000000-000D-0000-FFFF-FFFF00000000}"/>
  </bookViews>
  <sheets>
    <sheet name="1990-1992" sheetId="3" r:id="rId1"/>
  </sheets>
  <externalReferences>
    <externalReference r:id="rId2"/>
  </externalReferences>
  <definedNames>
    <definedName name="_xlnm._FilterDatabase" localSheetId="0" hidden="1">'1990-1992'!$AJ$1:$AJ$145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9" i="3" l="1"/>
  <c r="M39" i="3"/>
  <c r="AG38" i="3"/>
  <c r="AA38" i="3"/>
  <c r="M38" i="3"/>
  <c r="G38" i="3"/>
  <c r="AK37" i="3"/>
  <c r="Q37" i="3"/>
  <c r="AK36" i="3"/>
  <c r="Q36" i="3"/>
  <c r="AM35" i="3"/>
  <c r="AK35" i="3"/>
  <c r="S35" i="3"/>
  <c r="Q35" i="3"/>
  <c r="AL34" i="3"/>
  <c r="AK34" i="3"/>
  <c r="R34" i="3"/>
  <c r="Q34" i="3"/>
  <c r="AK33" i="3"/>
  <c r="Q33" i="3"/>
  <c r="AK32" i="3"/>
  <c r="Q32" i="3"/>
  <c r="AK31" i="3"/>
  <c r="Q31" i="3"/>
  <c r="AK30" i="3"/>
  <c r="Q30" i="3"/>
  <c r="AK29" i="3"/>
  <c r="Q29" i="3"/>
  <c r="AK28" i="3"/>
  <c r="Q28" i="3"/>
  <c r="AK27" i="3"/>
  <c r="Q27" i="3"/>
  <c r="AK26" i="3"/>
  <c r="Q26" i="3"/>
  <c r="AK25" i="3"/>
  <c r="Q25" i="3"/>
  <c r="AK24" i="3"/>
  <c r="Q24" i="3"/>
  <c r="AM23" i="3"/>
  <c r="AK23" i="3"/>
  <c r="S23" i="3"/>
  <c r="Q23" i="3"/>
  <c r="AL22" i="3"/>
  <c r="AK22" i="3"/>
  <c r="R22" i="3"/>
  <c r="Q22" i="3"/>
  <c r="AK21" i="3"/>
  <c r="Q21" i="3"/>
  <c r="AK20" i="3"/>
  <c r="Q20" i="3"/>
  <c r="AK19" i="3"/>
  <c r="Q19" i="3"/>
  <c r="AK18" i="3"/>
  <c r="Q18" i="3"/>
  <c r="AK17" i="3"/>
  <c r="Q17" i="3"/>
  <c r="AK16" i="3"/>
  <c r="Q16" i="3"/>
  <c r="AK15" i="3"/>
  <c r="Q15" i="3"/>
  <c r="AK14" i="3"/>
  <c r="Q14" i="3"/>
  <c r="AK13" i="3"/>
  <c r="Q13" i="3"/>
  <c r="AK12" i="3"/>
  <c r="Q12" i="3"/>
  <c r="AM11" i="3"/>
  <c r="AK11" i="3"/>
  <c r="S11" i="3"/>
  <c r="Q11" i="3"/>
  <c r="AL10" i="3"/>
  <c r="AK10" i="3"/>
  <c r="R10" i="3"/>
  <c r="Q10" i="3"/>
  <c r="AK9" i="3"/>
  <c r="Q9" i="3"/>
  <c r="AK8" i="3"/>
  <c r="Q8" i="3"/>
  <c r="AK7" i="3"/>
  <c r="Q7" i="3"/>
  <c r="AK6" i="3"/>
  <c r="Q6" i="3"/>
  <c r="AK5" i="3"/>
  <c r="Q5" i="3"/>
  <c r="AK4" i="3"/>
  <c r="Q4" i="3"/>
  <c r="AK3" i="3"/>
  <c r="Q3" i="3"/>
  <c r="AK2" i="3"/>
  <c r="Q2" i="3"/>
</calcChain>
</file>

<file path=xl/sharedStrings.xml><?xml version="1.0" encoding="utf-8"?>
<sst xmlns="http://schemas.openxmlformats.org/spreadsheetml/2006/main" count="32" uniqueCount="17">
  <si>
    <t>年</t>
  </si>
  <si>
    <t>月</t>
  </si>
  <si>
    <t>龙入(m3/s)</t>
  </si>
  <si>
    <t>龙出(m3/s)</t>
  </si>
  <si>
    <t>龙末水位(m)</t>
  </si>
  <si>
    <t>龙出力(MW)</t>
  </si>
  <si>
    <t>龙发电量(kWh)</t>
  </si>
  <si>
    <t>龙弃水(m3/s)</t>
  </si>
  <si>
    <t>刘入(m3/s)</t>
  </si>
  <si>
    <t>刘出(m3/s)</t>
  </si>
  <si>
    <t>刘末水位(m)</t>
  </si>
  <si>
    <t>刘出力(MW)</t>
  </si>
  <si>
    <t>刘发电量(kWh)</t>
  </si>
  <si>
    <t>刘弃水(m3/s)</t>
  </si>
  <si>
    <t>兰流量(m3/s)</t>
  </si>
  <si>
    <t>兰缺水(亿m3)</t>
  </si>
  <si>
    <t>输沙偏离度(%)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</si>
</sst>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scheme val="minor"/>
    </font>
    <font>
      <sz val="9"/>
      <name val="宋体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04564259976"/>
          <c:y val="9.1282298961603503E-2"/>
          <c:w val="0.86512745228880295"/>
          <c:h val="0.76005795701521395"/>
        </c:manualLayout>
      </c:layout>
      <c:lineChart>
        <c:grouping val="standard"/>
        <c:varyColors val="0"/>
        <c:ser>
          <c:idx val="0"/>
          <c:order val="0"/>
          <c:tx>
            <c:v>优化调度龙羊峡水位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'1990-1992'!$A$2:$A$37</c:f>
              <c:numCache>
                <c:formatCode>General</c:formatCode>
                <c:ptCount val="36"/>
                <c:pt idx="0">
                  <c:v>1990</c:v>
                </c:pt>
                <c:pt idx="12">
                  <c:v>1991</c:v>
                </c:pt>
                <c:pt idx="24">
                  <c:v>1992</c:v>
                </c:pt>
              </c:numCache>
            </c:numRef>
          </c:cat>
          <c:val>
            <c:numRef>
              <c:f>'1990-1992'!$E$2:$E$37</c:f>
              <c:numCache>
                <c:formatCode>General</c:formatCode>
                <c:ptCount val="36"/>
                <c:pt idx="0">
                  <c:v>2561.4653027066302</c:v>
                </c:pt>
                <c:pt idx="1">
                  <c:v>2564.0441750377299</c:v>
                </c:pt>
                <c:pt idx="2">
                  <c:v>2569.99099561807</c:v>
                </c:pt>
                <c:pt idx="3">
                  <c:v>2573.1480558881899</c:v>
                </c:pt>
                <c:pt idx="4">
                  <c:v>2572.5563549471999</c:v>
                </c:pt>
                <c:pt idx="5">
                  <c:v>2571.5580821853</c:v>
                </c:pt>
                <c:pt idx="6">
                  <c:v>2569.8724490089899</c:v>
                </c:pt>
                <c:pt idx="7">
                  <c:v>2568.1238743808199</c:v>
                </c:pt>
                <c:pt idx="8">
                  <c:v>2566.1629101908802</c:v>
                </c:pt>
                <c:pt idx="9">
                  <c:v>2561.3896085822998</c:v>
                </c:pt>
                <c:pt idx="10">
                  <c:v>2561.7980290993401</c:v>
                </c:pt>
                <c:pt idx="11">
                  <c:v>2561.32492294542</c:v>
                </c:pt>
                <c:pt idx="12">
                  <c:v>2561.13761577791</c:v>
                </c:pt>
                <c:pt idx="13">
                  <c:v>2563.5201488442499</c:v>
                </c:pt>
                <c:pt idx="14">
                  <c:v>2565.1624490193799</c:v>
                </c:pt>
                <c:pt idx="15">
                  <c:v>2567.8080495764998</c:v>
                </c:pt>
                <c:pt idx="16">
                  <c:v>2564.1176286618502</c:v>
                </c:pt>
                <c:pt idx="17">
                  <c:v>2562.7338411894598</c:v>
                </c:pt>
                <c:pt idx="18">
                  <c:v>2556.88934989174</c:v>
                </c:pt>
                <c:pt idx="19">
                  <c:v>2553.4012166329098</c:v>
                </c:pt>
                <c:pt idx="20">
                  <c:v>2551.99092155279</c:v>
                </c:pt>
                <c:pt idx="21">
                  <c:v>2545.1725641907801</c:v>
                </c:pt>
                <c:pt idx="22">
                  <c:v>2539.0652070567098</c:v>
                </c:pt>
                <c:pt idx="23">
                  <c:v>2543.6831212414199</c:v>
                </c:pt>
                <c:pt idx="24">
                  <c:v>2554.6349900656501</c:v>
                </c:pt>
                <c:pt idx="25">
                  <c:v>2560.2397201518002</c:v>
                </c:pt>
                <c:pt idx="26">
                  <c:v>2565.5848104630099</c:v>
                </c:pt>
                <c:pt idx="27">
                  <c:v>2570.6155690044602</c:v>
                </c:pt>
                <c:pt idx="28">
                  <c:v>2569.8606639342102</c:v>
                </c:pt>
                <c:pt idx="29">
                  <c:v>2568.6678673542601</c:v>
                </c:pt>
                <c:pt idx="30">
                  <c:v>2566.9045164510098</c:v>
                </c:pt>
                <c:pt idx="31">
                  <c:v>2565.2268756025001</c:v>
                </c:pt>
                <c:pt idx="32">
                  <c:v>2560.6193799331099</c:v>
                </c:pt>
                <c:pt idx="33">
                  <c:v>2558.7792261222698</c:v>
                </c:pt>
                <c:pt idx="34">
                  <c:v>2556.6051457501599</c:v>
                </c:pt>
                <c:pt idx="35">
                  <c:v>2558.6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4-4898-9C47-84FD128C251C}"/>
            </c:ext>
          </c:extLst>
        </c:ser>
        <c:ser>
          <c:idx val="1"/>
          <c:order val="1"/>
          <c:tx>
            <c:v>实际调度龙羊峡水位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'1990-1992'!$A$2:$A$37</c:f>
              <c:numCache>
                <c:formatCode>General</c:formatCode>
                <c:ptCount val="36"/>
                <c:pt idx="0">
                  <c:v>1990</c:v>
                </c:pt>
                <c:pt idx="12">
                  <c:v>1991</c:v>
                </c:pt>
                <c:pt idx="24">
                  <c:v>1992</c:v>
                </c:pt>
              </c:numCache>
            </c:numRef>
          </c:cat>
          <c:val>
            <c:numRef>
              <c:f>'1990-1992'!$Y$2:$Y$37</c:f>
              <c:numCache>
                <c:formatCode>General</c:formatCode>
                <c:ptCount val="36"/>
                <c:pt idx="0">
                  <c:v>2558.6970461538399</c:v>
                </c:pt>
                <c:pt idx="1">
                  <c:v>2560.4470707692299</c:v>
                </c:pt>
                <c:pt idx="2">
                  <c:v>2564.1590162962898</c:v>
                </c:pt>
                <c:pt idx="3">
                  <c:v>2565.7744275862001</c:v>
                </c:pt>
                <c:pt idx="4">
                  <c:v>2564.9197428571401</c:v>
                </c:pt>
                <c:pt idx="5">
                  <c:v>2561.2569476922999</c:v>
                </c:pt>
                <c:pt idx="6">
                  <c:v>2556.9957952</c:v>
                </c:pt>
                <c:pt idx="7">
                  <c:v>2553.5922533333301</c:v>
                </c:pt>
                <c:pt idx="8">
                  <c:v>2549.6048072727199</c:v>
                </c:pt>
                <c:pt idx="9">
                  <c:v>2546.9693890909002</c:v>
                </c:pt>
                <c:pt idx="10">
                  <c:v>2546.3237561904698</c:v>
                </c:pt>
                <c:pt idx="11">
                  <c:v>2545.2271847618999</c:v>
                </c:pt>
                <c:pt idx="12">
                  <c:v>2545.1251504761899</c:v>
                </c:pt>
                <c:pt idx="13">
                  <c:v>2548.3804581818099</c:v>
                </c:pt>
                <c:pt idx="14">
                  <c:v>2550.3093773913001</c:v>
                </c:pt>
                <c:pt idx="15">
                  <c:v>2551.6047400000002</c:v>
                </c:pt>
                <c:pt idx="16">
                  <c:v>2547.93415272727</c:v>
                </c:pt>
                <c:pt idx="17">
                  <c:v>2546.3603733333298</c:v>
                </c:pt>
                <c:pt idx="18">
                  <c:v>2539.2970947368399</c:v>
                </c:pt>
                <c:pt idx="19">
                  <c:v>2536.00324444444</c:v>
                </c:pt>
                <c:pt idx="20">
                  <c:v>2533.73656470588</c:v>
                </c:pt>
                <c:pt idx="21">
                  <c:v>2533.8128000000002</c:v>
                </c:pt>
                <c:pt idx="22">
                  <c:v>2532.7587600000002</c:v>
                </c:pt>
                <c:pt idx="23">
                  <c:v>2534.28240941176</c:v>
                </c:pt>
                <c:pt idx="24">
                  <c:v>2548.4841381818101</c:v>
                </c:pt>
                <c:pt idx="25">
                  <c:v>2554.1540066666598</c:v>
                </c:pt>
                <c:pt idx="26">
                  <c:v>2561.4659022222199</c:v>
                </c:pt>
                <c:pt idx="27">
                  <c:v>2568.71275586206</c:v>
                </c:pt>
                <c:pt idx="28">
                  <c:v>2568.2156799999998</c:v>
                </c:pt>
                <c:pt idx="29">
                  <c:v>2564.32988571428</c:v>
                </c:pt>
                <c:pt idx="30">
                  <c:v>2560.90109538461</c:v>
                </c:pt>
                <c:pt idx="31">
                  <c:v>2557.0660738461502</c:v>
                </c:pt>
                <c:pt idx="32">
                  <c:v>2554.6461568</c:v>
                </c:pt>
                <c:pt idx="33">
                  <c:v>2554.6565248000002</c:v>
                </c:pt>
                <c:pt idx="34">
                  <c:v>2556.0867199999998</c:v>
                </c:pt>
                <c:pt idx="35">
                  <c:v>2558.9462769230699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F4-4898-9C47-84FD128C2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782802"/>
        <c:axId val="456946733"/>
      </c:lineChart>
      <c:catAx>
        <c:axId val="7267828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>
                    <a:solidFill>
                      <a:sysClr val="windowText" lastClr="000000"/>
                    </a:solidFill>
                  </a:rPr>
                  <a:t>月</a:t>
                </a:r>
              </a:p>
            </c:rich>
          </c:tx>
          <c:layout>
            <c:manualLayout>
              <c:xMode val="edge"/>
              <c:yMode val="edge"/>
              <c:x val="0.466532998607259"/>
              <c:y val="0.92265717674970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456946733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45694673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水位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</a:t>
                </a:r>
                <a:r>
                  <a:rPr lang="en-GB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7267828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21074243664706699"/>
          <c:y val="7.2446269017145603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4d49a5-7fa8-4237-bde9-95c84121f61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04564259976"/>
          <c:y val="9.1282298961603503E-2"/>
          <c:w val="0.86512745228880295"/>
          <c:h val="0.76005795701521395"/>
        </c:manualLayout>
      </c:layout>
      <c:lineChart>
        <c:grouping val="standard"/>
        <c:varyColors val="0"/>
        <c:ser>
          <c:idx val="0"/>
          <c:order val="0"/>
          <c:tx>
            <c:v>优化调度刘家峡水位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'1990-1992'!$A$2:$A$37</c:f>
              <c:numCache>
                <c:formatCode>General</c:formatCode>
                <c:ptCount val="36"/>
                <c:pt idx="0">
                  <c:v>1990</c:v>
                </c:pt>
                <c:pt idx="12">
                  <c:v>1991</c:v>
                </c:pt>
                <c:pt idx="24">
                  <c:v>1992</c:v>
                </c:pt>
              </c:numCache>
            </c:numRef>
          </c:cat>
          <c:val>
            <c:numRef>
              <c:f>'1990-1992'!$K$2:$K$37</c:f>
              <c:numCache>
                <c:formatCode>General</c:formatCode>
                <c:ptCount val="36"/>
                <c:pt idx="0">
                  <c:v>1721.06562850399</c:v>
                </c:pt>
                <c:pt idx="1">
                  <c:v>1725.13266279185</c:v>
                </c:pt>
                <c:pt idx="2">
                  <c:v>1731.64226564159</c:v>
                </c:pt>
                <c:pt idx="3">
                  <c:v>1732.02923192299</c:v>
                </c:pt>
                <c:pt idx="4">
                  <c:v>1730.4565762167499</c:v>
                </c:pt>
                <c:pt idx="5">
                  <c:v>1731.06444970333</c:v>
                </c:pt>
                <c:pt idx="6">
                  <c:v>1730.89398408492</c:v>
                </c:pt>
                <c:pt idx="7">
                  <c:v>1732.5553772749499</c:v>
                </c:pt>
                <c:pt idx="8">
                  <c:v>1734.0637321148999</c:v>
                </c:pt>
                <c:pt idx="9">
                  <c:v>1733.83004683679</c:v>
                </c:pt>
                <c:pt idx="10">
                  <c:v>1733.82307748381</c:v>
                </c:pt>
                <c:pt idx="11">
                  <c:v>1727.68309626768</c:v>
                </c:pt>
                <c:pt idx="12">
                  <c:v>1723.41359162702</c:v>
                </c:pt>
                <c:pt idx="13">
                  <c:v>1725.83296397145</c:v>
                </c:pt>
                <c:pt idx="14">
                  <c:v>1728.78937641425</c:v>
                </c:pt>
                <c:pt idx="15">
                  <c:v>1723.2658947243399</c:v>
                </c:pt>
                <c:pt idx="16">
                  <c:v>1725.7695919335399</c:v>
                </c:pt>
                <c:pt idx="17">
                  <c:v>1726.31798996457</c:v>
                </c:pt>
                <c:pt idx="18">
                  <c:v>1731.8401384946701</c:v>
                </c:pt>
                <c:pt idx="19">
                  <c:v>1734.7847479601601</c:v>
                </c:pt>
                <c:pt idx="20">
                  <c:v>1730.3605522463199</c:v>
                </c:pt>
                <c:pt idx="21">
                  <c:v>1734.7918527715799</c:v>
                </c:pt>
                <c:pt idx="22">
                  <c:v>1731.19244968159</c:v>
                </c:pt>
                <c:pt idx="23">
                  <c:v>1716.3682377263001</c:v>
                </c:pt>
                <c:pt idx="24">
                  <c:v>1714.9199482745601</c:v>
                </c:pt>
                <c:pt idx="25">
                  <c:v>1721.4062609749001</c:v>
                </c:pt>
                <c:pt idx="26">
                  <c:v>1732.32353121185</c:v>
                </c:pt>
                <c:pt idx="27">
                  <c:v>1733.5613042111399</c:v>
                </c:pt>
                <c:pt idx="28">
                  <c:v>1732.99103980466</c:v>
                </c:pt>
                <c:pt idx="29">
                  <c:v>1733.22607624129</c:v>
                </c:pt>
                <c:pt idx="30">
                  <c:v>1734.1188031321601</c:v>
                </c:pt>
                <c:pt idx="31">
                  <c:v>1732.9099554377799</c:v>
                </c:pt>
                <c:pt idx="32">
                  <c:v>1734.8931143488201</c:v>
                </c:pt>
                <c:pt idx="33">
                  <c:v>1733.7982971087299</c:v>
                </c:pt>
                <c:pt idx="34">
                  <c:v>1731.4886656004401</c:v>
                </c:pt>
                <c:pt idx="35">
                  <c:v>1730.4798460291699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A8-43EB-995A-E9A84015965A}"/>
            </c:ext>
          </c:extLst>
        </c:ser>
        <c:ser>
          <c:idx val="1"/>
          <c:order val="1"/>
          <c:tx>
            <c:v>实际调度刘家峡水位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'1990-1992'!$A$2:$A$37</c:f>
              <c:numCache>
                <c:formatCode>General</c:formatCode>
                <c:ptCount val="36"/>
                <c:pt idx="0">
                  <c:v>1990</c:v>
                </c:pt>
                <c:pt idx="12">
                  <c:v>1991</c:v>
                </c:pt>
                <c:pt idx="24">
                  <c:v>1992</c:v>
                </c:pt>
              </c:numCache>
            </c:numRef>
          </c:cat>
          <c:val>
            <c:numRef>
              <c:f>'1990-1992'!$AE$2:$AE$37</c:f>
              <c:numCache>
                <c:formatCode>General</c:formatCode>
                <c:ptCount val="36"/>
                <c:pt idx="0">
                  <c:v>1725.6022108060199</c:v>
                </c:pt>
                <c:pt idx="1">
                  <c:v>1727.2402467644499</c:v>
                </c:pt>
                <c:pt idx="2">
                  <c:v>1731.6135037059601</c:v>
                </c:pt>
                <c:pt idx="3">
                  <c:v>1732.0201290836601</c:v>
                </c:pt>
                <c:pt idx="4">
                  <c:v>1724.6691845729999</c:v>
                </c:pt>
                <c:pt idx="5">
                  <c:v>1724.96296363636</c:v>
                </c:pt>
                <c:pt idx="6">
                  <c:v>1726.2451849255001</c:v>
                </c:pt>
                <c:pt idx="7">
                  <c:v>1727.37945266781</c:v>
                </c:pt>
                <c:pt idx="8">
                  <c:v>1731.77663074425</c:v>
                </c:pt>
                <c:pt idx="9">
                  <c:v>1730.12630593978</c:v>
                </c:pt>
                <c:pt idx="10">
                  <c:v>1720.00198260869</c:v>
                </c:pt>
                <c:pt idx="11">
                  <c:v>1721.8254357429701</c:v>
                </c:pt>
                <c:pt idx="12">
                  <c:v>1719.8436270022801</c:v>
                </c:pt>
                <c:pt idx="13">
                  <c:v>1724.96610545454</c:v>
                </c:pt>
                <c:pt idx="14">
                  <c:v>1726.43411877729</c:v>
                </c:pt>
                <c:pt idx="15">
                  <c:v>1724.57227808471</c:v>
                </c:pt>
                <c:pt idx="16">
                  <c:v>1723.21271374045</c:v>
                </c:pt>
                <c:pt idx="17">
                  <c:v>1717.9808645962701</c:v>
                </c:pt>
                <c:pt idx="18">
                  <c:v>1722.9556155339801</c:v>
                </c:pt>
                <c:pt idx="19">
                  <c:v>1721.2132727272699</c:v>
                </c:pt>
                <c:pt idx="20">
                  <c:v>1721.8904048096099</c:v>
                </c:pt>
                <c:pt idx="21">
                  <c:v>1720.8358840579699</c:v>
                </c:pt>
                <c:pt idx="22">
                  <c:v>1705.66397472924</c:v>
                </c:pt>
                <c:pt idx="23">
                  <c:v>1710.58437617554</c:v>
                </c:pt>
                <c:pt idx="24">
                  <c:v>1715.7039430122099</c:v>
                </c:pt>
                <c:pt idx="25">
                  <c:v>1726.48465851528</c:v>
                </c:pt>
                <c:pt idx="26">
                  <c:v>1733.20552470588</c:v>
                </c:pt>
                <c:pt idx="27">
                  <c:v>1729.59309570957</c:v>
                </c:pt>
                <c:pt idx="28">
                  <c:v>1726.42581834061</c:v>
                </c:pt>
                <c:pt idx="29">
                  <c:v>1728.7849991645701</c:v>
                </c:pt>
                <c:pt idx="30">
                  <c:v>1729.1419153526899</c:v>
                </c:pt>
                <c:pt idx="31">
                  <c:v>1732.1302643312099</c:v>
                </c:pt>
                <c:pt idx="32">
                  <c:v>1731.83</c:v>
                </c:pt>
                <c:pt idx="33">
                  <c:v>1732.57</c:v>
                </c:pt>
                <c:pt idx="34">
                  <c:v>1726.73</c:v>
                </c:pt>
                <c:pt idx="35">
                  <c:v>1730.78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8-43EB-995A-E9A840159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782802"/>
        <c:axId val="456946733"/>
      </c:lineChart>
      <c:catAx>
        <c:axId val="7267828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>
                    <a:solidFill>
                      <a:sysClr val="windowText" lastClr="000000"/>
                    </a:solidFill>
                  </a:rPr>
                  <a:t>月</a:t>
                </a:r>
              </a:p>
            </c:rich>
          </c:tx>
          <c:layout>
            <c:manualLayout>
              <c:xMode val="edge"/>
              <c:yMode val="edge"/>
              <c:x val="0.466532998607259"/>
              <c:y val="0.92265717674970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456946733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45694673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水位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</a:t>
                </a:r>
                <a:r>
                  <a:rPr lang="en-GB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7267828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21074671243061599"/>
          <c:y val="7.2446269017145603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4d49a5-7fa8-4237-bde9-95c84121f61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04003736821"/>
          <c:y val="9.1282298961603503E-2"/>
          <c:w val="0.87113305752035197"/>
          <c:h val="0.77454721081864297"/>
        </c:manualLayout>
      </c:layout>
      <c:lineChart>
        <c:grouping val="standard"/>
        <c:varyColors val="0"/>
        <c:ser>
          <c:idx val="0"/>
          <c:order val="0"/>
          <c:tx>
            <c:v>优化调度龙羊峡出库流量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'1990-1992'!$A$2:$A$37</c:f>
              <c:numCache>
                <c:formatCode>General</c:formatCode>
                <c:ptCount val="36"/>
                <c:pt idx="0">
                  <c:v>1990</c:v>
                </c:pt>
                <c:pt idx="12">
                  <c:v>1991</c:v>
                </c:pt>
                <c:pt idx="24">
                  <c:v>1992</c:v>
                </c:pt>
              </c:numCache>
            </c:numRef>
          </c:cat>
          <c:val>
            <c:numRef>
              <c:f>'1990-1992'!$D$2:$D$37</c:f>
              <c:numCache>
                <c:formatCode>General</c:formatCode>
                <c:ptCount val="36"/>
                <c:pt idx="0">
                  <c:v>425.67333826464397</c:v>
                </c:pt>
                <c:pt idx="1">
                  <c:v>592.62795707397004</c:v>
                </c:pt>
                <c:pt idx="2">
                  <c:v>341.07651432953202</c:v>
                </c:pt>
                <c:pt idx="3">
                  <c:v>377.59369776054098</c:v>
                </c:pt>
                <c:pt idx="4">
                  <c:v>487.99509710945699</c:v>
                </c:pt>
                <c:pt idx="5">
                  <c:v>331.300685554317</c:v>
                </c:pt>
                <c:pt idx="6">
                  <c:v>351.646495947723</c:v>
                </c:pt>
                <c:pt idx="7">
                  <c:v>401.25511499477699</c:v>
                </c:pt>
                <c:pt idx="8">
                  <c:v>437.688738422423</c:v>
                </c:pt>
                <c:pt idx="9">
                  <c:v>778.26409576605704</c:v>
                </c:pt>
                <c:pt idx="10">
                  <c:v>463.828576910896</c:v>
                </c:pt>
                <c:pt idx="11">
                  <c:v>663.28189103407499</c:v>
                </c:pt>
                <c:pt idx="12">
                  <c:v>826.50841369016803</c:v>
                </c:pt>
                <c:pt idx="13">
                  <c:v>889.00335410887203</c:v>
                </c:pt>
                <c:pt idx="14">
                  <c:v>566.74843787175803</c:v>
                </c:pt>
                <c:pt idx="15">
                  <c:v>356.17179967128698</c:v>
                </c:pt>
                <c:pt idx="16">
                  <c:v>803.77107966357096</c:v>
                </c:pt>
                <c:pt idx="17">
                  <c:v>331.98185694759297</c:v>
                </c:pt>
                <c:pt idx="18">
                  <c:v>709.78153379437003</c:v>
                </c:pt>
                <c:pt idx="19">
                  <c:v>499.246519648912</c:v>
                </c:pt>
                <c:pt idx="20">
                  <c:v>329.21656016878597</c:v>
                </c:pt>
                <c:pt idx="21">
                  <c:v>987.67958220643004</c:v>
                </c:pt>
                <c:pt idx="22">
                  <c:v>930.069448123862</c:v>
                </c:pt>
                <c:pt idx="23">
                  <c:v>444.27817203864299</c:v>
                </c:pt>
                <c:pt idx="24">
                  <c:v>740.00176667883704</c:v>
                </c:pt>
                <c:pt idx="25">
                  <c:v>487.60120796938799</c:v>
                </c:pt>
                <c:pt idx="26">
                  <c:v>467.10552135205597</c:v>
                </c:pt>
                <c:pt idx="27">
                  <c:v>406.43347830955901</c:v>
                </c:pt>
                <c:pt idx="28">
                  <c:v>514.98746955014803</c:v>
                </c:pt>
                <c:pt idx="29">
                  <c:v>360.24165454292699</c:v>
                </c:pt>
                <c:pt idx="30">
                  <c:v>370.924343616427</c:v>
                </c:pt>
                <c:pt idx="31">
                  <c:v>406.95430473834398</c:v>
                </c:pt>
                <c:pt idx="32">
                  <c:v>733.79263245204697</c:v>
                </c:pt>
                <c:pt idx="33">
                  <c:v>680.20130792860596</c:v>
                </c:pt>
                <c:pt idx="34">
                  <c:v>912.95652413736502</c:v>
                </c:pt>
                <c:pt idx="35">
                  <c:v>790.12285398951303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C9-4A59-90EC-A8AED5B8F9A3}"/>
            </c:ext>
          </c:extLst>
        </c:ser>
        <c:ser>
          <c:idx val="1"/>
          <c:order val="1"/>
          <c:tx>
            <c:v>实际调度龙羊峡出库流量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'1990-1992'!$A$2:$A$37</c:f>
              <c:numCache>
                <c:formatCode>General</c:formatCode>
                <c:ptCount val="36"/>
                <c:pt idx="0">
                  <c:v>1990</c:v>
                </c:pt>
                <c:pt idx="12">
                  <c:v>1991</c:v>
                </c:pt>
                <c:pt idx="24">
                  <c:v>1992</c:v>
                </c:pt>
              </c:numCache>
            </c:numRef>
          </c:cat>
          <c:val>
            <c:numRef>
              <c:f>'1990-1992'!$X$2:$X$37</c:f>
              <c:numCache>
                <c:formatCode>General</c:formatCode>
                <c:ptCount val="36"/>
                <c:pt idx="0">
                  <c:v>698</c:v>
                </c:pt>
                <c:pt idx="1">
                  <c:v>684</c:v>
                </c:pt>
                <c:pt idx="2">
                  <c:v>612</c:v>
                </c:pt>
                <c:pt idx="3">
                  <c:v>565</c:v>
                </c:pt>
                <c:pt idx="4">
                  <c:v>511</c:v>
                </c:pt>
                <c:pt idx="5">
                  <c:v>592</c:v>
                </c:pt>
                <c:pt idx="6">
                  <c:v>577</c:v>
                </c:pt>
                <c:pt idx="7">
                  <c:v>541</c:v>
                </c:pt>
                <c:pt idx="8">
                  <c:v>575</c:v>
                </c:pt>
                <c:pt idx="9">
                  <c:v>496</c:v>
                </c:pt>
                <c:pt idx="10">
                  <c:v>557</c:v>
                </c:pt>
                <c:pt idx="11">
                  <c:v>704</c:v>
                </c:pt>
                <c:pt idx="12">
                  <c:v>816</c:v>
                </c:pt>
                <c:pt idx="13">
                  <c:v>867</c:v>
                </c:pt>
                <c:pt idx="14">
                  <c:v>575</c:v>
                </c:pt>
                <c:pt idx="15">
                  <c:v>526</c:v>
                </c:pt>
                <c:pt idx="16">
                  <c:v>722</c:v>
                </c:pt>
                <c:pt idx="17">
                  <c:v>318</c:v>
                </c:pt>
                <c:pt idx="18">
                  <c:v>668</c:v>
                </c:pt>
                <c:pt idx="19">
                  <c:v>386</c:v>
                </c:pt>
                <c:pt idx="20">
                  <c:v>349</c:v>
                </c:pt>
                <c:pt idx="21">
                  <c:v>396</c:v>
                </c:pt>
                <c:pt idx="22">
                  <c:v>543</c:v>
                </c:pt>
                <c:pt idx="23">
                  <c:v>694</c:v>
                </c:pt>
                <c:pt idx="24">
                  <c:v>623</c:v>
                </c:pt>
                <c:pt idx="25">
                  <c:v>527</c:v>
                </c:pt>
                <c:pt idx="26">
                  <c:v>309</c:v>
                </c:pt>
                <c:pt idx="27">
                  <c:v>194</c:v>
                </c:pt>
                <c:pt idx="28">
                  <c:v>484</c:v>
                </c:pt>
                <c:pt idx="29">
                  <c:v>642</c:v>
                </c:pt>
                <c:pt idx="30">
                  <c:v>528</c:v>
                </c:pt>
                <c:pt idx="31">
                  <c:v>630</c:v>
                </c:pt>
                <c:pt idx="32">
                  <c:v>489</c:v>
                </c:pt>
                <c:pt idx="33">
                  <c:v>493</c:v>
                </c:pt>
                <c:pt idx="34">
                  <c:v>574</c:v>
                </c:pt>
                <c:pt idx="35">
                  <c:v>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C9-4A59-90EC-A8AED5B8F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782802"/>
        <c:axId val="456946733"/>
      </c:lineChart>
      <c:catAx>
        <c:axId val="7267828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>
                    <a:solidFill>
                      <a:sysClr val="windowText" lastClr="000000"/>
                    </a:solidFill>
                  </a:rPr>
                  <a:t>月</a:t>
                </a:r>
              </a:p>
            </c:rich>
          </c:tx>
          <c:layout>
            <c:manualLayout>
              <c:xMode val="edge"/>
              <c:yMode val="edge"/>
              <c:x val="0.466532998607259"/>
              <c:y val="0.92265717674970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456946733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45694673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(</a:t>
                </a:r>
                <a:r>
                  <a:rPr lang="en-GB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</a:t>
                </a:r>
                <a:r>
                  <a:rPr lang="en-GB" altLang="zh-CN" baseline="30000">
                    <a:solidFill>
                      <a:sysClr val="windowText" lastClr="000000"/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GB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7267828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164699463205188"/>
          <c:y val="7.2446269017145603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4d49a5-7fa8-4237-bde9-95c84121f61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04003736821"/>
          <c:y val="9.1282298961603503E-2"/>
          <c:w val="0.87113305752035197"/>
          <c:h val="0.77454721081864297"/>
        </c:manualLayout>
      </c:layout>
      <c:lineChart>
        <c:grouping val="standard"/>
        <c:varyColors val="0"/>
        <c:ser>
          <c:idx val="0"/>
          <c:order val="0"/>
          <c:tx>
            <c:v>优化调度刘家峡出库流量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'1990-1992'!$A$2:$A$37</c:f>
              <c:numCache>
                <c:formatCode>General</c:formatCode>
                <c:ptCount val="36"/>
                <c:pt idx="0">
                  <c:v>1990</c:v>
                </c:pt>
                <c:pt idx="12">
                  <c:v>1991</c:v>
                </c:pt>
                <c:pt idx="24">
                  <c:v>1992</c:v>
                </c:pt>
              </c:numCache>
            </c:numRef>
          </c:cat>
          <c:val>
            <c:numRef>
              <c:f>'1990-1992'!$J$2:$J$37</c:f>
              <c:numCache>
                <c:formatCode>General</c:formatCode>
                <c:ptCount val="36"/>
                <c:pt idx="0">
                  <c:v>857.25354318556697</c:v>
                </c:pt>
                <c:pt idx="1">
                  <c:v>717.74641548586203</c:v>
                </c:pt>
                <c:pt idx="2">
                  <c:v>331.00087496599099</c:v>
                </c:pt>
                <c:pt idx="3">
                  <c:v>558.50945008425299</c:v>
                </c:pt>
                <c:pt idx="4">
                  <c:v>619.51095404931596</c:v>
                </c:pt>
                <c:pt idx="5">
                  <c:v>345.19467151376898</c:v>
                </c:pt>
                <c:pt idx="6">
                  <c:v>384.54719345922001</c:v>
                </c:pt>
                <c:pt idx="7">
                  <c:v>349.176245327228</c:v>
                </c:pt>
                <c:pt idx="8">
                  <c:v>442.88580955965102</c:v>
                </c:pt>
                <c:pt idx="9">
                  <c:v>844.84379005823905</c:v>
                </c:pt>
                <c:pt idx="10">
                  <c:v>543.16242099226201</c:v>
                </c:pt>
                <c:pt idx="11">
                  <c:v>1142.2842818932099</c:v>
                </c:pt>
                <c:pt idx="12">
                  <c:v>1079.73187822659</c:v>
                </c:pt>
                <c:pt idx="13">
                  <c:v>862.26784122365996</c:v>
                </c:pt>
                <c:pt idx="14">
                  <c:v>516.05274249271599</c:v>
                </c:pt>
                <c:pt idx="15">
                  <c:v>652.123715266212</c:v>
                </c:pt>
                <c:pt idx="16">
                  <c:v>689.52036175436001</c:v>
                </c:pt>
                <c:pt idx="17">
                  <c:v>337.68606614950602</c:v>
                </c:pt>
                <c:pt idx="18">
                  <c:v>463.14746622311901</c:v>
                </c:pt>
                <c:pt idx="19">
                  <c:v>360.401817442327</c:v>
                </c:pt>
                <c:pt idx="20">
                  <c:v>580.95977406269799</c:v>
                </c:pt>
                <c:pt idx="21">
                  <c:v>812.62336619732298</c:v>
                </c:pt>
                <c:pt idx="22">
                  <c:v>1115.6866107035</c:v>
                </c:pt>
                <c:pt idx="23">
                  <c:v>1193.1819131509999</c:v>
                </c:pt>
                <c:pt idx="24">
                  <c:v>1053.8688374993701</c:v>
                </c:pt>
                <c:pt idx="25">
                  <c:v>809.88681688261397</c:v>
                </c:pt>
                <c:pt idx="26">
                  <c:v>472.81172489237201</c:v>
                </c:pt>
                <c:pt idx="27">
                  <c:v>666.789619074406</c:v>
                </c:pt>
                <c:pt idx="28">
                  <c:v>659.06659447090601</c:v>
                </c:pt>
                <c:pt idx="29">
                  <c:v>408.06203941565298</c:v>
                </c:pt>
                <c:pt idx="30">
                  <c:v>367.22244904952998</c:v>
                </c:pt>
                <c:pt idx="31">
                  <c:v>542.22261937012502</c:v>
                </c:pt>
                <c:pt idx="32">
                  <c:v>726.75034557028903</c:v>
                </c:pt>
                <c:pt idx="33">
                  <c:v>828.65350721751702</c:v>
                </c:pt>
                <c:pt idx="34">
                  <c:v>1126.9955220895299</c:v>
                </c:pt>
                <c:pt idx="35">
                  <c:v>1163.4366915419901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B5-44E3-9FD3-3377BD07C4BD}"/>
            </c:ext>
          </c:extLst>
        </c:ser>
        <c:ser>
          <c:idx val="1"/>
          <c:order val="1"/>
          <c:tx>
            <c:v>实际调度刘家峡出库流量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'1990-1992'!$A$2:$A$37</c:f>
              <c:numCache>
                <c:formatCode>General</c:formatCode>
                <c:ptCount val="36"/>
                <c:pt idx="0">
                  <c:v>1990</c:v>
                </c:pt>
                <c:pt idx="12">
                  <c:v>1991</c:v>
                </c:pt>
                <c:pt idx="24">
                  <c:v>1992</c:v>
                </c:pt>
              </c:numCache>
            </c:numRef>
          </c:cat>
          <c:val>
            <c:numRef>
              <c:f>'1990-1992'!$AD$2:$AD$37</c:f>
              <c:numCache>
                <c:formatCode>General</c:formatCode>
                <c:ptCount val="36"/>
                <c:pt idx="0">
                  <c:v>952</c:v>
                </c:pt>
                <c:pt idx="1">
                  <c:v>897</c:v>
                </c:pt>
                <c:pt idx="2">
                  <c:v>696</c:v>
                </c:pt>
                <c:pt idx="3">
                  <c:v>745</c:v>
                </c:pt>
                <c:pt idx="4">
                  <c:v>903</c:v>
                </c:pt>
                <c:pt idx="5">
                  <c:v>622</c:v>
                </c:pt>
                <c:pt idx="6">
                  <c:v>548</c:v>
                </c:pt>
                <c:pt idx="7">
                  <c:v>522</c:v>
                </c:pt>
                <c:pt idx="8">
                  <c:v>453</c:v>
                </c:pt>
                <c:pt idx="9">
                  <c:v>630</c:v>
                </c:pt>
                <c:pt idx="10">
                  <c:v>1050</c:v>
                </c:pt>
                <c:pt idx="11">
                  <c:v>823</c:v>
                </c:pt>
                <c:pt idx="12">
                  <c:v>962</c:v>
                </c:pt>
                <c:pt idx="13">
                  <c:v>745</c:v>
                </c:pt>
                <c:pt idx="14">
                  <c:v>593</c:v>
                </c:pt>
                <c:pt idx="15">
                  <c:v>667</c:v>
                </c:pt>
                <c:pt idx="16">
                  <c:v>769</c:v>
                </c:pt>
                <c:pt idx="17">
                  <c:v>529</c:v>
                </c:pt>
                <c:pt idx="18">
                  <c:v>497</c:v>
                </c:pt>
                <c:pt idx="19">
                  <c:v>483</c:v>
                </c:pt>
                <c:pt idx="20">
                  <c:v>367</c:v>
                </c:pt>
                <c:pt idx="21">
                  <c:v>477</c:v>
                </c:pt>
                <c:pt idx="22">
                  <c:v>956</c:v>
                </c:pt>
                <c:pt idx="23">
                  <c:v>738</c:v>
                </c:pt>
                <c:pt idx="24">
                  <c:v>766</c:v>
                </c:pt>
                <c:pt idx="25">
                  <c:v>668</c:v>
                </c:pt>
                <c:pt idx="26">
                  <c:v>481</c:v>
                </c:pt>
                <c:pt idx="27">
                  <c:v>681</c:v>
                </c:pt>
                <c:pt idx="28">
                  <c:v>744</c:v>
                </c:pt>
                <c:pt idx="29">
                  <c:v>598</c:v>
                </c:pt>
                <c:pt idx="30">
                  <c:v>551</c:v>
                </c:pt>
                <c:pt idx="31">
                  <c:v>541</c:v>
                </c:pt>
                <c:pt idx="32">
                  <c:v>600</c:v>
                </c:pt>
                <c:pt idx="33">
                  <c:v>532</c:v>
                </c:pt>
                <c:pt idx="34">
                  <c:v>955</c:v>
                </c:pt>
                <c:pt idx="35">
                  <c:v>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B5-44E3-9FD3-3377BD07C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782802"/>
        <c:axId val="456946733"/>
      </c:lineChart>
      <c:catAx>
        <c:axId val="7267828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时间</a:t>
                </a:r>
                <a:r>
                  <a:rPr lang="en-US" altLang="zh-CN">
                    <a:solidFill>
                      <a:sysClr val="windowText" lastClr="000000"/>
                    </a:solidFill>
                  </a:rPr>
                  <a:t>/</a:t>
                </a:r>
                <a:r>
                  <a:rPr lang="zh-CN" altLang="en-US">
                    <a:solidFill>
                      <a:sysClr val="windowText" lastClr="000000"/>
                    </a:solidFill>
                  </a:rPr>
                  <a:t>月</a:t>
                </a:r>
              </a:p>
            </c:rich>
          </c:tx>
          <c:layout>
            <c:manualLayout>
              <c:xMode val="edge"/>
              <c:yMode val="edge"/>
              <c:x val="0.466532998607259"/>
              <c:y val="0.92265717674970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456946733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45694673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(</a:t>
                </a:r>
                <a:r>
                  <a:rPr lang="en-GB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</a:t>
                </a:r>
                <a:r>
                  <a:rPr lang="en-GB" altLang="zh-CN" baseline="30000">
                    <a:solidFill>
                      <a:sysClr val="windowText" lastClr="000000"/>
                    </a:solidFill>
                    <a:uFillTx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3</a:t>
                </a:r>
                <a:r>
                  <a:rPr lang="en-GB" altLang="zh-CN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7267828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17671681928673899"/>
          <c:y val="7.2446269017145603E-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4d49a5-7fa8-4237-bde9-95c84121f61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37</xdr:row>
      <xdr:rowOff>152400</xdr:rowOff>
    </xdr:from>
    <xdr:to>
      <xdr:col>8</xdr:col>
      <xdr:colOff>389890</xdr:colOff>
      <xdr:row>53</xdr:row>
      <xdr:rowOff>27305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121920</xdr:colOff>
      <xdr:row>56</xdr:row>
      <xdr:rowOff>7620</xdr:rowOff>
    </xdr:from>
    <xdr:to>
      <xdr:col>9</xdr:col>
      <xdr:colOff>194945</xdr:colOff>
      <xdr:row>71</xdr:row>
      <xdr:rowOff>133350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523875</xdr:colOff>
      <xdr:row>42</xdr:row>
      <xdr:rowOff>0</xdr:rowOff>
    </xdr:from>
    <xdr:to>
      <xdr:col>19</xdr:col>
      <xdr:colOff>204470</xdr:colOff>
      <xdr:row>57</xdr:row>
      <xdr:rowOff>57785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595630</xdr:colOff>
      <xdr:row>59</xdr:row>
      <xdr:rowOff>118110</xdr:rowOff>
    </xdr:from>
    <xdr:to>
      <xdr:col>19</xdr:col>
      <xdr:colOff>474345</xdr:colOff>
      <xdr:row>74</xdr:row>
      <xdr:rowOff>128270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istrator\xwechat_files\wxid_3wvlyzihcxqm22_2336\msg\file\2026-08\&#24773;&#2265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1-2002"/>
      <sheetName val="1990-1992"/>
      <sheetName val="1994-2004"/>
      <sheetName val="丰枯交替"/>
      <sheetName val="1969-1974"/>
      <sheetName val="1977-1980"/>
      <sheetName val="1969-1970"/>
      <sheetName val="1987-1988"/>
      <sheetName val="1967-1970"/>
      <sheetName val="1975-1977"/>
      <sheetName val="1987-19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9"/>
  <sheetViews>
    <sheetView tabSelected="1" topLeftCell="L1" workbookViewId="0">
      <selection activeCell="G11" sqref="G11"/>
    </sheetView>
  </sheetViews>
  <sheetFormatPr defaultColWidth="9" defaultRowHeight="14.4" x14ac:dyDescent="0.25"/>
  <cols>
    <col min="7" max="7" width="12.6640625"/>
    <col min="13" max="13" width="12.6640625"/>
    <col min="19" max="19" width="12.6640625"/>
    <col min="22" max="22" width="9" style="2"/>
    <col min="24" max="26" width="9.33203125"/>
    <col min="27" max="27" width="12.6640625"/>
    <col min="28" max="33" width="9.33203125"/>
    <col min="36" max="36" width="12.6640625"/>
    <col min="39" max="39" width="12.6640625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  <c r="AF1" t="s">
        <v>11</v>
      </c>
      <c r="AG1" t="s">
        <v>12</v>
      </c>
      <c r="AH1" t="s">
        <v>13</v>
      </c>
      <c r="AI1" t="s">
        <v>14</v>
      </c>
      <c r="AJ1" t="s">
        <v>15</v>
      </c>
      <c r="AK1" t="s">
        <v>16</v>
      </c>
    </row>
    <row r="2" spans="1:39" x14ac:dyDescent="0.25">
      <c r="A2">
        <v>1990</v>
      </c>
      <c r="B2">
        <v>7</v>
      </c>
      <c r="C2">
        <v>803</v>
      </c>
      <c r="D2">
        <v>425.67333826464397</v>
      </c>
      <c r="E2">
        <v>2561.4653027066302</v>
      </c>
      <c r="F2">
        <v>372.86667950576401</v>
      </c>
      <c r="G2">
        <v>277412809.552288</v>
      </c>
      <c r="H2">
        <v>0</v>
      </c>
      <c r="I2">
        <v>643.67333826464301</v>
      </c>
      <c r="J2">
        <v>857.25354318556697</v>
      </c>
      <c r="K2">
        <v>1721.06562850399</v>
      </c>
      <c r="L2">
        <v>682.729684284531</v>
      </c>
      <c r="M2">
        <v>507950885.10769099</v>
      </c>
      <c r="N2">
        <v>0</v>
      </c>
      <c r="O2">
        <v>1132.2535431855599</v>
      </c>
      <c r="P2">
        <v>2.7771371394180799</v>
      </c>
      <c r="Q2">
        <f t="shared" ref="Q2:Q37" si="0">IF(F2+L2&gt;1000,1,0)</f>
        <v>1</v>
      </c>
      <c r="W2">
        <v>803</v>
      </c>
      <c r="X2">
        <v>698</v>
      </c>
      <c r="Y2">
        <v>2558.6970461538399</v>
      </c>
      <c r="Z2">
        <v>593.99187937759905</v>
      </c>
      <c r="AA2">
        <v>441929958.25693297</v>
      </c>
      <c r="AB2">
        <v>0</v>
      </c>
      <c r="AC2">
        <v>916</v>
      </c>
      <c r="AD2">
        <v>952</v>
      </c>
      <c r="AE2">
        <v>1725.6022108060199</v>
      </c>
      <c r="AF2">
        <v>773.215647731221</v>
      </c>
      <c r="AG2">
        <v>575272441.91202796</v>
      </c>
      <c r="AH2">
        <v>0</v>
      </c>
      <c r="AI2">
        <v>1227</v>
      </c>
      <c r="AJ2">
        <v>0.23944804010030901</v>
      </c>
      <c r="AK2">
        <f t="shared" ref="AK2:AK37" si="1">IF(Z2+AF2&gt;1000,1,0)</f>
        <v>1</v>
      </c>
    </row>
    <row r="3" spans="1:39" x14ac:dyDescent="0.25">
      <c r="B3">
        <v>8</v>
      </c>
      <c r="C3">
        <v>855</v>
      </c>
      <c r="D3">
        <v>592.62795707397004</v>
      </c>
      <c r="E3">
        <v>2564.0441750377299</v>
      </c>
      <c r="F3">
        <v>529.33327698803396</v>
      </c>
      <c r="G3">
        <v>393823958.07909697</v>
      </c>
      <c r="H3">
        <v>0</v>
      </c>
      <c r="I3">
        <v>875.62795707397004</v>
      </c>
      <c r="J3">
        <v>717.74641548586203</v>
      </c>
      <c r="K3">
        <v>1725.13266279185</v>
      </c>
      <c r="L3">
        <v>569.63752123297502</v>
      </c>
      <c r="M3">
        <v>423810315.797333</v>
      </c>
      <c r="N3">
        <v>0</v>
      </c>
      <c r="O3">
        <v>952.74641548586203</v>
      </c>
      <c r="P3">
        <v>1.1029677018622599</v>
      </c>
      <c r="Q3">
        <f t="shared" si="0"/>
        <v>1</v>
      </c>
      <c r="W3">
        <v>855</v>
      </c>
      <c r="X3">
        <v>684</v>
      </c>
      <c r="Y3">
        <v>2560.4470707692299</v>
      </c>
      <c r="Z3">
        <v>590.52319873476699</v>
      </c>
      <c r="AA3">
        <v>439349259.858666</v>
      </c>
      <c r="AB3">
        <v>0</v>
      </c>
      <c r="AC3">
        <v>967</v>
      </c>
      <c r="AD3">
        <v>897</v>
      </c>
      <c r="AE3">
        <v>1727.2402467644499</v>
      </c>
      <c r="AF3">
        <v>732.60706888960601</v>
      </c>
      <c r="AG3">
        <v>545059659.25386703</v>
      </c>
      <c r="AH3">
        <v>0</v>
      </c>
      <c r="AI3">
        <v>1132</v>
      </c>
      <c r="AJ3">
        <v>0</v>
      </c>
      <c r="AK3">
        <f t="shared" si="1"/>
        <v>1</v>
      </c>
    </row>
    <row r="4" spans="1:39" x14ac:dyDescent="0.25">
      <c r="B4">
        <v>9</v>
      </c>
      <c r="C4">
        <v>1000</v>
      </c>
      <c r="D4">
        <v>341.07651432953202</v>
      </c>
      <c r="E4">
        <v>2569.99099561807</v>
      </c>
      <c r="F4">
        <v>321.93667170043801</v>
      </c>
      <c r="G4">
        <v>231794403.62431499</v>
      </c>
      <c r="H4">
        <v>0</v>
      </c>
      <c r="I4">
        <v>629.07651432953196</v>
      </c>
      <c r="J4">
        <v>331.00087496599099</v>
      </c>
      <c r="K4">
        <v>1731.64226564159</v>
      </c>
      <c r="L4">
        <v>281.67785449904602</v>
      </c>
      <c r="M4">
        <v>202808055.23931301</v>
      </c>
      <c r="N4">
        <v>0</v>
      </c>
      <c r="O4">
        <v>504.00087496599099</v>
      </c>
      <c r="P4">
        <v>3.79551254644542</v>
      </c>
      <c r="Q4">
        <f t="shared" si="0"/>
        <v>0</v>
      </c>
      <c r="W4">
        <v>1000</v>
      </c>
      <c r="X4">
        <v>612</v>
      </c>
      <c r="Y4">
        <v>2564.1590162962898</v>
      </c>
      <c r="Z4">
        <v>543.877558112001</v>
      </c>
      <c r="AA4">
        <v>391591841.84064102</v>
      </c>
      <c r="AB4">
        <v>0</v>
      </c>
      <c r="AC4">
        <v>900</v>
      </c>
      <c r="AD4">
        <v>696</v>
      </c>
      <c r="AE4">
        <v>1731.6135037059601</v>
      </c>
      <c r="AF4">
        <v>589.13518433454499</v>
      </c>
      <c r="AG4">
        <v>424177332.72087198</v>
      </c>
      <c r="AH4">
        <v>0</v>
      </c>
      <c r="AI4">
        <v>869</v>
      </c>
      <c r="AJ4">
        <v>0</v>
      </c>
      <c r="AK4">
        <f t="shared" si="1"/>
        <v>1</v>
      </c>
    </row>
    <row r="5" spans="1:39" x14ac:dyDescent="0.25">
      <c r="B5">
        <v>10</v>
      </c>
      <c r="C5">
        <v>734</v>
      </c>
      <c r="D5">
        <v>377.59369776054098</v>
      </c>
      <c r="E5">
        <v>2573.1480558881899</v>
      </c>
      <c r="F5">
        <v>369.57403451755101</v>
      </c>
      <c r="G5">
        <v>274963081.68105799</v>
      </c>
      <c r="H5">
        <v>0</v>
      </c>
      <c r="I5">
        <v>576.59369776054098</v>
      </c>
      <c r="J5">
        <v>558.50945008425299</v>
      </c>
      <c r="K5">
        <v>1732.02923192299</v>
      </c>
      <c r="L5">
        <v>485.95860647880897</v>
      </c>
      <c r="M5">
        <v>361553203.22023302</v>
      </c>
      <c r="N5">
        <v>0</v>
      </c>
      <c r="O5">
        <v>674.50945008425299</v>
      </c>
      <c r="P5">
        <v>2.3331698569884698</v>
      </c>
      <c r="Q5">
        <f t="shared" si="0"/>
        <v>0</v>
      </c>
      <c r="W5">
        <v>734</v>
      </c>
      <c r="X5">
        <v>565</v>
      </c>
      <c r="Y5">
        <v>2565.7744275862001</v>
      </c>
      <c r="Z5">
        <v>515.88534979785902</v>
      </c>
      <c r="AA5">
        <v>383818700.24960703</v>
      </c>
      <c r="AB5">
        <v>0</v>
      </c>
      <c r="AC5">
        <v>764</v>
      </c>
      <c r="AD5">
        <v>745</v>
      </c>
      <c r="AE5">
        <v>1732.0201290836601</v>
      </c>
      <c r="AF5">
        <v>644.30256314950805</v>
      </c>
      <c r="AG5">
        <v>479361106.98323399</v>
      </c>
      <c r="AH5">
        <v>0</v>
      </c>
      <c r="AI5">
        <v>861</v>
      </c>
      <c r="AJ5">
        <v>0</v>
      </c>
      <c r="AK5">
        <f t="shared" si="1"/>
        <v>1</v>
      </c>
    </row>
    <row r="6" spans="1:39" x14ac:dyDescent="0.25">
      <c r="B6">
        <v>11</v>
      </c>
      <c r="C6">
        <v>418</v>
      </c>
      <c r="D6">
        <v>487.99509710945699</v>
      </c>
      <c r="E6">
        <v>2572.5563549471999</v>
      </c>
      <c r="F6">
        <v>479.59591076601203</v>
      </c>
      <c r="G6">
        <v>345309055.75152898</v>
      </c>
      <c r="H6">
        <v>0</v>
      </c>
      <c r="I6">
        <v>543.99509710945699</v>
      </c>
      <c r="J6">
        <v>619.51095404931596</v>
      </c>
      <c r="K6">
        <v>1730.4565762167499</v>
      </c>
      <c r="L6">
        <v>534.90480386830995</v>
      </c>
      <c r="M6">
        <v>385131458.78518301</v>
      </c>
      <c r="N6">
        <v>0</v>
      </c>
      <c r="O6">
        <v>724.51095404931596</v>
      </c>
      <c r="P6">
        <v>0</v>
      </c>
      <c r="Q6">
        <f t="shared" si="0"/>
        <v>1</v>
      </c>
      <c r="W6">
        <v>418</v>
      </c>
      <c r="X6">
        <v>511</v>
      </c>
      <c r="Y6">
        <v>2564.9197428571401</v>
      </c>
      <c r="Z6">
        <v>469.712856735</v>
      </c>
      <c r="AA6">
        <v>338193256.84920001</v>
      </c>
      <c r="AB6">
        <v>0</v>
      </c>
      <c r="AC6">
        <v>567</v>
      </c>
      <c r="AD6">
        <v>903</v>
      </c>
      <c r="AE6">
        <v>1724.6691845729999</v>
      </c>
      <c r="AF6">
        <v>752.68886775285296</v>
      </c>
      <c r="AG6">
        <v>541935984.78205395</v>
      </c>
      <c r="AH6">
        <v>0</v>
      </c>
      <c r="AI6">
        <v>1008</v>
      </c>
      <c r="AJ6">
        <v>0</v>
      </c>
      <c r="AK6">
        <f t="shared" si="1"/>
        <v>1</v>
      </c>
    </row>
    <row r="7" spans="1:39" x14ac:dyDescent="0.25">
      <c r="B7">
        <v>12</v>
      </c>
      <c r="C7">
        <v>218</v>
      </c>
      <c r="D7">
        <v>331.300685554317</v>
      </c>
      <c r="E7">
        <v>2571.5580821853</v>
      </c>
      <c r="F7">
        <v>326.65667196745102</v>
      </c>
      <c r="G7">
        <v>243032563.943784</v>
      </c>
      <c r="H7">
        <v>0</v>
      </c>
      <c r="I7">
        <v>373.300685554317</v>
      </c>
      <c r="J7">
        <v>345.19467151376898</v>
      </c>
      <c r="K7">
        <v>1731.06444970333</v>
      </c>
      <c r="L7">
        <v>300.07805039392798</v>
      </c>
      <c r="M7">
        <v>223258069.49308199</v>
      </c>
      <c r="N7">
        <v>0</v>
      </c>
      <c r="O7">
        <v>407.19467151376898</v>
      </c>
      <c r="P7">
        <v>0.15859046203486499</v>
      </c>
      <c r="Q7">
        <f t="shared" si="0"/>
        <v>0</v>
      </c>
      <c r="W7">
        <v>218</v>
      </c>
      <c r="X7">
        <v>592</v>
      </c>
      <c r="Y7">
        <v>2561.2569476922999</v>
      </c>
      <c r="Z7">
        <v>530.48957994971499</v>
      </c>
      <c r="AA7">
        <v>394684247.48258799</v>
      </c>
      <c r="AB7">
        <v>0</v>
      </c>
      <c r="AC7">
        <v>634</v>
      </c>
      <c r="AD7">
        <v>622</v>
      </c>
      <c r="AE7">
        <v>1724.96296363636</v>
      </c>
      <c r="AF7">
        <v>503.81505720365499</v>
      </c>
      <c r="AG7">
        <v>374838402.55952001</v>
      </c>
      <c r="AH7">
        <v>0</v>
      </c>
      <c r="AI7">
        <v>684</v>
      </c>
      <c r="AJ7">
        <v>0</v>
      </c>
      <c r="AK7">
        <f t="shared" si="1"/>
        <v>1</v>
      </c>
    </row>
    <row r="8" spans="1:39" x14ac:dyDescent="0.25">
      <c r="B8">
        <v>1</v>
      </c>
      <c r="C8">
        <v>163</v>
      </c>
      <c r="D8">
        <v>351.646495947723</v>
      </c>
      <c r="E8">
        <v>2569.8724490089899</v>
      </c>
      <c r="F8">
        <v>342.29794297939901</v>
      </c>
      <c r="G8">
        <v>254669669.576673</v>
      </c>
      <c r="H8">
        <v>0</v>
      </c>
      <c r="I8">
        <v>376.646495947723</v>
      </c>
      <c r="J8">
        <v>384.54719345922001</v>
      </c>
      <c r="K8">
        <v>1730.89398408492</v>
      </c>
      <c r="L8">
        <v>334.35576343542198</v>
      </c>
      <c r="M8">
        <v>248760687.99595401</v>
      </c>
      <c r="N8">
        <v>0</v>
      </c>
      <c r="O8">
        <v>432.54719345922001</v>
      </c>
      <c r="P8">
        <v>0</v>
      </c>
      <c r="Q8">
        <f t="shared" si="0"/>
        <v>0</v>
      </c>
      <c r="W8">
        <v>163</v>
      </c>
      <c r="X8">
        <v>577</v>
      </c>
      <c r="Y8">
        <v>2556.9957952</v>
      </c>
      <c r="Z8">
        <v>498.595827637154</v>
      </c>
      <c r="AA8">
        <v>370955295.762043</v>
      </c>
      <c r="AB8">
        <v>0</v>
      </c>
      <c r="AC8">
        <v>602</v>
      </c>
      <c r="AD8">
        <v>548</v>
      </c>
      <c r="AE8">
        <v>1726.2451849255001</v>
      </c>
      <c r="AF8">
        <v>448.65569079043399</v>
      </c>
      <c r="AG8">
        <v>333799833.94808298</v>
      </c>
      <c r="AH8">
        <v>0</v>
      </c>
      <c r="AI8">
        <v>596</v>
      </c>
      <c r="AJ8">
        <v>0</v>
      </c>
      <c r="AK8">
        <f t="shared" si="1"/>
        <v>0</v>
      </c>
    </row>
    <row r="9" spans="1:39" x14ac:dyDescent="0.25">
      <c r="B9">
        <v>2</v>
      </c>
      <c r="C9">
        <v>181</v>
      </c>
      <c r="D9">
        <v>401.25511499477699</v>
      </c>
      <c r="E9">
        <v>2568.1238743808199</v>
      </c>
      <c r="F9">
        <v>383.478876465322</v>
      </c>
      <c r="G9">
        <v>248494311.94952899</v>
      </c>
      <c r="H9">
        <v>0</v>
      </c>
      <c r="I9">
        <v>438.25511499477699</v>
      </c>
      <c r="J9">
        <v>349.176245327228</v>
      </c>
      <c r="K9">
        <v>1732.5553772749499</v>
      </c>
      <c r="L9">
        <v>306.28405211270501</v>
      </c>
      <c r="M9">
        <v>198472065.769032</v>
      </c>
      <c r="N9">
        <v>0</v>
      </c>
      <c r="O9">
        <v>400.176245327228</v>
      </c>
      <c r="P9">
        <v>0.31032012795378899</v>
      </c>
      <c r="Q9">
        <f t="shared" si="0"/>
        <v>0</v>
      </c>
      <c r="W9">
        <v>181</v>
      </c>
      <c r="X9">
        <v>541</v>
      </c>
      <c r="Y9">
        <v>2553.5922533333301</v>
      </c>
      <c r="Z9">
        <v>451.33994143676199</v>
      </c>
      <c r="AA9">
        <v>292468282.05102098</v>
      </c>
      <c r="AB9">
        <v>0</v>
      </c>
      <c r="AC9">
        <v>578</v>
      </c>
      <c r="AD9">
        <v>522</v>
      </c>
      <c r="AE9">
        <v>1727.37945266781</v>
      </c>
      <c r="AF9">
        <v>432.99062661250002</v>
      </c>
      <c r="AG9">
        <v>280577926.0449</v>
      </c>
      <c r="AH9">
        <v>0</v>
      </c>
      <c r="AI9">
        <v>573</v>
      </c>
      <c r="AJ9">
        <v>0</v>
      </c>
      <c r="AK9">
        <f t="shared" si="1"/>
        <v>0</v>
      </c>
    </row>
    <row r="10" spans="1:39" x14ac:dyDescent="0.25">
      <c r="B10">
        <v>3</v>
      </c>
      <c r="C10">
        <v>227</v>
      </c>
      <c r="D10">
        <v>437.688738422423</v>
      </c>
      <c r="E10">
        <v>2566.1629101908802</v>
      </c>
      <c r="F10">
        <v>410.67093356596001</v>
      </c>
      <c r="G10">
        <v>305539174.57307398</v>
      </c>
      <c r="H10">
        <v>0</v>
      </c>
      <c r="I10">
        <v>514.68873842242294</v>
      </c>
      <c r="J10">
        <v>442.88580955965102</v>
      </c>
      <c r="K10">
        <v>1734.0637321148999</v>
      </c>
      <c r="L10">
        <v>392.587508830579</v>
      </c>
      <c r="M10">
        <v>292085106.569951</v>
      </c>
      <c r="N10">
        <v>0</v>
      </c>
      <c r="O10">
        <v>487.88580955965102</v>
      </c>
      <c r="P10">
        <v>2.3764246534460498</v>
      </c>
      <c r="Q10">
        <f t="shared" si="0"/>
        <v>0</v>
      </c>
      <c r="R10">
        <f>Q10+Q9+Q8+Q7+Q6</f>
        <v>1</v>
      </c>
      <c r="W10">
        <v>227</v>
      </c>
      <c r="X10">
        <v>575</v>
      </c>
      <c r="Y10">
        <v>2549.6048072727199</v>
      </c>
      <c r="Z10">
        <v>461.01552992500098</v>
      </c>
      <c r="AA10">
        <v>342995554.26419997</v>
      </c>
      <c r="AB10">
        <v>0</v>
      </c>
      <c r="AC10">
        <v>652</v>
      </c>
      <c r="AD10">
        <v>453</v>
      </c>
      <c r="AE10">
        <v>1731.77663074425</v>
      </c>
      <c r="AF10">
        <v>387.47581821435602</v>
      </c>
      <c r="AG10">
        <v>288282008.751481</v>
      </c>
      <c r="AH10">
        <v>0</v>
      </c>
      <c r="AI10">
        <v>498</v>
      </c>
      <c r="AJ10">
        <v>2.1055261766917401</v>
      </c>
      <c r="AK10">
        <f t="shared" si="1"/>
        <v>0</v>
      </c>
      <c r="AL10">
        <f>AK10+AK9+AK8+AK7+AK6</f>
        <v>2</v>
      </c>
    </row>
    <row r="11" spans="1:39" x14ac:dyDescent="0.25">
      <c r="B11">
        <v>4</v>
      </c>
      <c r="C11">
        <v>270</v>
      </c>
      <c r="D11">
        <v>778.26409576605704</v>
      </c>
      <c r="E11">
        <v>2561.3896085822998</v>
      </c>
      <c r="F11">
        <v>696.62967384425997</v>
      </c>
      <c r="G11">
        <v>501573365.167867</v>
      </c>
      <c r="H11">
        <v>0</v>
      </c>
      <c r="I11">
        <v>833.26409576605704</v>
      </c>
      <c r="J11">
        <v>844.84379005823905</v>
      </c>
      <c r="K11">
        <v>1733.83004683679</v>
      </c>
      <c r="L11">
        <v>743.71920174077002</v>
      </c>
      <c r="M11">
        <v>535477825.25335503</v>
      </c>
      <c r="N11">
        <v>0</v>
      </c>
      <c r="O11">
        <v>913.84379005823905</v>
      </c>
      <c r="P11">
        <v>8.7811818833292005E-2</v>
      </c>
      <c r="Q11">
        <f t="shared" si="0"/>
        <v>1</v>
      </c>
      <c r="S11">
        <f>P11+P12+P13</f>
        <v>18.033635113091599</v>
      </c>
      <c r="W11">
        <v>270</v>
      </c>
      <c r="X11">
        <v>496</v>
      </c>
      <c r="Y11">
        <v>2546.9693890909002</v>
      </c>
      <c r="Z11">
        <v>386.16709757672999</v>
      </c>
      <c r="AA11">
        <v>278040310.25524497</v>
      </c>
      <c r="AB11">
        <v>0</v>
      </c>
      <c r="AC11">
        <v>551</v>
      </c>
      <c r="AD11">
        <v>630</v>
      </c>
      <c r="AE11">
        <v>1730.12630593978</v>
      </c>
      <c r="AF11">
        <v>542.24829018130504</v>
      </c>
      <c r="AG11">
        <v>390418768.93054003</v>
      </c>
      <c r="AH11">
        <v>0</v>
      </c>
      <c r="AI11">
        <v>699</v>
      </c>
      <c r="AJ11">
        <v>5.6565628571428404</v>
      </c>
      <c r="AK11">
        <f t="shared" si="1"/>
        <v>0</v>
      </c>
      <c r="AM11">
        <f>AJ11+AJ12+AJ13</f>
        <v>18.303097021929901</v>
      </c>
    </row>
    <row r="12" spans="1:39" x14ac:dyDescent="0.25">
      <c r="B12">
        <v>5</v>
      </c>
      <c r="C12">
        <v>505</v>
      </c>
      <c r="D12">
        <v>463.828576910896</v>
      </c>
      <c r="E12">
        <v>2561.7980290993401</v>
      </c>
      <c r="F12">
        <v>413.13104681459203</v>
      </c>
      <c r="G12">
        <v>307369498.83005702</v>
      </c>
      <c r="H12">
        <v>0</v>
      </c>
      <c r="I12">
        <v>542.828576910896</v>
      </c>
      <c r="J12">
        <v>543.16242099226201</v>
      </c>
      <c r="K12">
        <v>1733.82307748381</v>
      </c>
      <c r="L12">
        <v>481.82124073414798</v>
      </c>
      <c r="M12">
        <v>358475003.106206</v>
      </c>
      <c r="N12">
        <v>0</v>
      </c>
      <c r="O12">
        <v>660.16242099226201</v>
      </c>
      <c r="P12">
        <v>16.214832914764798</v>
      </c>
      <c r="Q12">
        <f t="shared" si="0"/>
        <v>0</v>
      </c>
      <c r="W12">
        <v>505</v>
      </c>
      <c r="X12">
        <v>557</v>
      </c>
      <c r="Y12">
        <v>2546.3237561904698</v>
      </c>
      <c r="Z12">
        <v>424.116515721908</v>
      </c>
      <c r="AA12">
        <v>315542687.69709998</v>
      </c>
      <c r="AB12">
        <v>0</v>
      </c>
      <c r="AC12">
        <v>636</v>
      </c>
      <c r="AD12">
        <v>1050</v>
      </c>
      <c r="AE12">
        <v>1720.00198260869</v>
      </c>
      <c r="AF12">
        <v>845.591250093334</v>
      </c>
      <c r="AG12">
        <v>629119890.06944096</v>
      </c>
      <c r="AH12">
        <v>0</v>
      </c>
      <c r="AI12">
        <v>1167</v>
      </c>
      <c r="AJ12">
        <v>2.6396951986216299</v>
      </c>
      <c r="AK12">
        <f t="shared" si="1"/>
        <v>1</v>
      </c>
    </row>
    <row r="13" spans="1:39" x14ac:dyDescent="0.25">
      <c r="B13">
        <v>6</v>
      </c>
      <c r="C13">
        <v>614</v>
      </c>
      <c r="D13">
        <v>663.28189103407499</v>
      </c>
      <c r="E13">
        <v>2561.32492294542</v>
      </c>
      <c r="F13">
        <v>584.04737737152402</v>
      </c>
      <c r="G13">
        <v>420514111.707497</v>
      </c>
      <c r="H13">
        <v>0</v>
      </c>
      <c r="I13">
        <v>850.28189103407499</v>
      </c>
      <c r="J13">
        <v>1142.2842818932099</v>
      </c>
      <c r="K13">
        <v>1727.68309626768</v>
      </c>
      <c r="L13">
        <v>969.96056246260696</v>
      </c>
      <c r="M13">
        <v>698371604.97307706</v>
      </c>
      <c r="N13">
        <v>0</v>
      </c>
      <c r="O13">
        <v>1287.2842818932099</v>
      </c>
      <c r="P13">
        <v>1.73099037949347</v>
      </c>
      <c r="Q13">
        <f t="shared" si="0"/>
        <v>1</v>
      </c>
      <c r="W13">
        <v>614</v>
      </c>
      <c r="X13">
        <v>704</v>
      </c>
      <c r="Y13">
        <v>2545.2271847618999</v>
      </c>
      <c r="Z13">
        <v>526.651422427429</v>
      </c>
      <c r="AA13">
        <v>379189024.14774901</v>
      </c>
      <c r="AB13">
        <v>0</v>
      </c>
      <c r="AC13">
        <v>891</v>
      </c>
      <c r="AD13">
        <v>823</v>
      </c>
      <c r="AE13">
        <v>1721.8254357429701</v>
      </c>
      <c r="AF13">
        <v>635.96801269638797</v>
      </c>
      <c r="AG13">
        <v>457896969.14139903</v>
      </c>
      <c r="AH13">
        <v>0</v>
      </c>
      <c r="AI13">
        <v>968</v>
      </c>
      <c r="AJ13">
        <v>10.0068389661654</v>
      </c>
      <c r="AK13">
        <f t="shared" si="1"/>
        <v>1</v>
      </c>
    </row>
    <row r="14" spans="1:39" x14ac:dyDescent="0.25">
      <c r="A14">
        <v>1991</v>
      </c>
      <c r="B14">
        <v>7</v>
      </c>
      <c r="C14">
        <v>808</v>
      </c>
      <c r="D14">
        <v>826.50841369016803</v>
      </c>
      <c r="E14">
        <v>2561.13761577791</v>
      </c>
      <c r="F14">
        <v>720.84467528706398</v>
      </c>
      <c r="G14">
        <v>536308438.41357499</v>
      </c>
      <c r="H14">
        <v>0</v>
      </c>
      <c r="I14">
        <v>901.50841369016803</v>
      </c>
      <c r="J14">
        <v>1079.73187822659</v>
      </c>
      <c r="K14">
        <v>1723.41359162702</v>
      </c>
      <c r="L14">
        <v>870.95511878764398</v>
      </c>
      <c r="M14">
        <v>647990608.37800705</v>
      </c>
      <c r="N14">
        <v>0</v>
      </c>
      <c r="O14">
        <v>1255.73187822659</v>
      </c>
      <c r="P14">
        <v>0</v>
      </c>
      <c r="Q14">
        <f t="shared" si="0"/>
        <v>1</v>
      </c>
      <c r="W14">
        <v>808</v>
      </c>
      <c r="X14">
        <v>816</v>
      </c>
      <c r="Y14">
        <v>2545.1251504761899</v>
      </c>
      <c r="Z14">
        <v>603.19212149028397</v>
      </c>
      <c r="AA14">
        <v>448774938.388771</v>
      </c>
      <c r="AB14">
        <v>0</v>
      </c>
      <c r="AC14">
        <v>891</v>
      </c>
      <c r="AD14">
        <v>962</v>
      </c>
      <c r="AE14">
        <v>1719.8436270022801</v>
      </c>
      <c r="AF14">
        <v>739.84609286956504</v>
      </c>
      <c r="AG14">
        <v>550445493.09495604</v>
      </c>
      <c r="AH14">
        <v>0</v>
      </c>
      <c r="AI14">
        <v>1138</v>
      </c>
      <c r="AJ14">
        <v>2.6232240401003</v>
      </c>
      <c r="AK14">
        <f t="shared" si="1"/>
        <v>1</v>
      </c>
    </row>
    <row r="15" spans="1:39" x14ac:dyDescent="0.25">
      <c r="B15">
        <v>8</v>
      </c>
      <c r="C15">
        <v>1130</v>
      </c>
      <c r="D15">
        <v>889.00335410887203</v>
      </c>
      <c r="E15">
        <v>2563.5201488442499</v>
      </c>
      <c r="F15">
        <v>781.92084701592501</v>
      </c>
      <c r="G15">
        <v>581749110.17984796</v>
      </c>
      <c r="H15">
        <v>0</v>
      </c>
      <c r="I15">
        <v>961.00335410887203</v>
      </c>
      <c r="J15">
        <v>862.26784122365996</v>
      </c>
      <c r="K15">
        <v>1725.83296397145</v>
      </c>
      <c r="L15">
        <v>692.17130279574906</v>
      </c>
      <c r="M15">
        <v>514975449.28003699</v>
      </c>
      <c r="N15">
        <v>0</v>
      </c>
      <c r="O15">
        <v>995.26784122365996</v>
      </c>
      <c r="P15">
        <v>0</v>
      </c>
      <c r="Q15">
        <f t="shared" si="0"/>
        <v>1</v>
      </c>
      <c r="W15">
        <v>1130</v>
      </c>
      <c r="X15">
        <v>867</v>
      </c>
      <c r="Y15">
        <v>2548.3804581818099</v>
      </c>
      <c r="Z15">
        <v>651.15623179128499</v>
      </c>
      <c r="AA15">
        <v>484460236.45271599</v>
      </c>
      <c r="AB15">
        <v>0</v>
      </c>
      <c r="AC15">
        <v>939</v>
      </c>
      <c r="AD15">
        <v>745</v>
      </c>
      <c r="AE15">
        <v>1724.96610545454</v>
      </c>
      <c r="AF15">
        <v>586.79679237992002</v>
      </c>
      <c r="AG15">
        <v>436576813.53065997</v>
      </c>
      <c r="AH15">
        <v>0</v>
      </c>
      <c r="AI15">
        <v>878</v>
      </c>
      <c r="AJ15">
        <v>3.1049756942355899</v>
      </c>
      <c r="AK15">
        <f t="shared" si="1"/>
        <v>1</v>
      </c>
    </row>
    <row r="16" spans="1:39" x14ac:dyDescent="0.25">
      <c r="B16">
        <v>9</v>
      </c>
      <c r="C16">
        <v>743</v>
      </c>
      <c r="D16">
        <v>566.74843787175803</v>
      </c>
      <c r="E16">
        <v>2565.1624490193799</v>
      </c>
      <c r="F16">
        <v>514.48298998454095</v>
      </c>
      <c r="G16">
        <v>370427752.78886902</v>
      </c>
      <c r="H16">
        <v>0</v>
      </c>
      <c r="I16">
        <v>648.74843787175803</v>
      </c>
      <c r="J16">
        <v>516.05274249271599</v>
      </c>
      <c r="K16">
        <v>1728.78937641425</v>
      </c>
      <c r="L16">
        <v>430.35994499690401</v>
      </c>
      <c r="M16">
        <v>309859160.397771</v>
      </c>
      <c r="N16">
        <v>0</v>
      </c>
      <c r="O16">
        <v>609.05274249271599</v>
      </c>
      <c r="P16">
        <v>1.0725681401527001</v>
      </c>
      <c r="Q16">
        <f t="shared" si="0"/>
        <v>0</v>
      </c>
      <c r="W16">
        <v>743</v>
      </c>
      <c r="X16">
        <v>575</v>
      </c>
      <c r="Y16">
        <v>2550.3093773913001</v>
      </c>
      <c r="Z16">
        <v>450.14553641136598</v>
      </c>
      <c r="AA16">
        <v>324104786.21618402</v>
      </c>
      <c r="AB16">
        <v>0</v>
      </c>
      <c r="AC16">
        <v>657</v>
      </c>
      <c r="AD16">
        <v>593</v>
      </c>
      <c r="AE16">
        <v>1726.43411877729</v>
      </c>
      <c r="AF16">
        <v>485.20049075371497</v>
      </c>
      <c r="AG16">
        <v>349344353.34267402</v>
      </c>
      <c r="AH16">
        <v>0</v>
      </c>
      <c r="AI16">
        <v>686</v>
      </c>
      <c r="AJ16">
        <v>0</v>
      </c>
      <c r="AK16">
        <f t="shared" si="1"/>
        <v>0</v>
      </c>
    </row>
    <row r="17" spans="1:39" x14ac:dyDescent="0.25">
      <c r="B17">
        <v>10</v>
      </c>
      <c r="C17">
        <v>638</v>
      </c>
      <c r="D17">
        <v>356.17179967128698</v>
      </c>
      <c r="E17">
        <v>2567.8080495764998</v>
      </c>
      <c r="F17">
        <v>334.10905255677</v>
      </c>
      <c r="G17">
        <v>248577135.10223699</v>
      </c>
      <c r="H17">
        <v>0</v>
      </c>
      <c r="I17">
        <v>419.17179967128698</v>
      </c>
      <c r="J17">
        <v>652.123715266212</v>
      </c>
      <c r="K17">
        <v>1723.2658947243399</v>
      </c>
      <c r="L17">
        <v>534.66959249482898</v>
      </c>
      <c r="M17">
        <v>397794176.81615299</v>
      </c>
      <c r="N17">
        <v>0</v>
      </c>
      <c r="O17">
        <v>725.123715266212</v>
      </c>
      <c r="P17">
        <v>0.97751737835488595</v>
      </c>
      <c r="Q17">
        <f t="shared" si="0"/>
        <v>0</v>
      </c>
      <c r="W17">
        <v>638</v>
      </c>
      <c r="X17">
        <v>526</v>
      </c>
      <c r="Y17">
        <v>2551.6047400000002</v>
      </c>
      <c r="Z17">
        <v>420.23733382069503</v>
      </c>
      <c r="AA17">
        <v>312656576.36259699</v>
      </c>
      <c r="AB17">
        <v>0</v>
      </c>
      <c r="AC17">
        <v>589</v>
      </c>
      <c r="AD17">
        <v>667</v>
      </c>
      <c r="AE17">
        <v>1724.57227808471</v>
      </c>
      <c r="AF17">
        <v>543.25974526428399</v>
      </c>
      <c r="AG17">
        <v>404185250.47662699</v>
      </c>
      <c r="AH17">
        <v>0</v>
      </c>
      <c r="AI17">
        <v>740</v>
      </c>
      <c r="AJ17">
        <v>0.57907096804510805</v>
      </c>
      <c r="AK17">
        <f t="shared" si="1"/>
        <v>0</v>
      </c>
    </row>
    <row r="18" spans="1:39" x14ac:dyDescent="0.25">
      <c r="B18">
        <v>11</v>
      </c>
      <c r="C18">
        <v>400</v>
      </c>
      <c r="D18">
        <v>803.77107966357096</v>
      </c>
      <c r="E18">
        <v>2564.1176286618502</v>
      </c>
      <c r="F18">
        <v>733.24198275322306</v>
      </c>
      <c r="G18">
        <v>527934227.58231997</v>
      </c>
      <c r="H18">
        <v>0</v>
      </c>
      <c r="I18">
        <v>794.77107966357096</v>
      </c>
      <c r="J18">
        <v>689.52036175436001</v>
      </c>
      <c r="K18">
        <v>1725.7695919335399</v>
      </c>
      <c r="L18">
        <v>555.58937716755804</v>
      </c>
      <c r="M18">
        <v>400024351.56064099</v>
      </c>
      <c r="N18">
        <v>0</v>
      </c>
      <c r="O18">
        <v>721.52036175436001</v>
      </c>
      <c r="P18">
        <v>0</v>
      </c>
      <c r="Q18">
        <f t="shared" si="0"/>
        <v>1</v>
      </c>
      <c r="W18">
        <v>400</v>
      </c>
      <c r="X18">
        <v>722</v>
      </c>
      <c r="Y18">
        <v>2547.93415272727</v>
      </c>
      <c r="Z18">
        <v>563.72564330330601</v>
      </c>
      <c r="AA18">
        <v>405882463.17838001</v>
      </c>
      <c r="AB18">
        <v>0</v>
      </c>
      <c r="AC18">
        <v>713</v>
      </c>
      <c r="AD18">
        <v>769</v>
      </c>
      <c r="AE18">
        <v>1723.21271374045</v>
      </c>
      <c r="AF18">
        <v>614.10797568718397</v>
      </c>
      <c r="AG18">
        <v>442157742.49477297</v>
      </c>
      <c r="AH18">
        <v>0</v>
      </c>
      <c r="AI18">
        <v>801</v>
      </c>
      <c r="AJ18">
        <v>0</v>
      </c>
      <c r="AK18">
        <f t="shared" si="1"/>
        <v>1</v>
      </c>
    </row>
    <row r="19" spans="1:39" x14ac:dyDescent="0.25">
      <c r="B19">
        <v>12</v>
      </c>
      <c r="C19">
        <v>190</v>
      </c>
      <c r="D19">
        <v>331.98185694759297</v>
      </c>
      <c r="E19">
        <v>2562.7338411894598</v>
      </c>
      <c r="F19">
        <v>303.53029863109401</v>
      </c>
      <c r="G19">
        <v>225826542.18153399</v>
      </c>
      <c r="H19">
        <v>0</v>
      </c>
      <c r="I19">
        <v>360.98185694759297</v>
      </c>
      <c r="J19">
        <v>337.68606614950602</v>
      </c>
      <c r="K19">
        <v>1726.31798996457</v>
      </c>
      <c r="L19">
        <v>280.43632632425602</v>
      </c>
      <c r="M19">
        <v>208644626.78524601</v>
      </c>
      <c r="N19">
        <v>0</v>
      </c>
      <c r="O19">
        <v>377.68606614950602</v>
      </c>
      <c r="P19">
        <v>0.94894894811128405</v>
      </c>
      <c r="Q19">
        <f t="shared" si="0"/>
        <v>0</v>
      </c>
      <c r="W19">
        <v>190</v>
      </c>
      <c r="X19">
        <v>318</v>
      </c>
      <c r="Y19">
        <v>2546.3603733333298</v>
      </c>
      <c r="Z19">
        <v>248.10317266856899</v>
      </c>
      <c r="AA19">
        <v>184588760.465415</v>
      </c>
      <c r="AB19">
        <v>0</v>
      </c>
      <c r="AC19">
        <v>347</v>
      </c>
      <c r="AD19">
        <v>529</v>
      </c>
      <c r="AE19">
        <v>1717.9808645962701</v>
      </c>
      <c r="AF19">
        <v>412.19788664502101</v>
      </c>
      <c r="AG19">
        <v>306675227.66389501</v>
      </c>
      <c r="AH19">
        <v>0</v>
      </c>
      <c r="AI19">
        <v>569</v>
      </c>
      <c r="AJ19">
        <v>0</v>
      </c>
      <c r="AK19">
        <f t="shared" si="1"/>
        <v>0</v>
      </c>
    </row>
    <row r="20" spans="1:39" x14ac:dyDescent="0.25">
      <c r="B20">
        <v>1</v>
      </c>
      <c r="C20">
        <v>137</v>
      </c>
      <c r="D20">
        <v>709.78153379437003</v>
      </c>
      <c r="E20">
        <v>2556.88934989174</v>
      </c>
      <c r="F20">
        <v>613.83153858471803</v>
      </c>
      <c r="G20">
        <v>456690664.70703</v>
      </c>
      <c r="H20">
        <v>0</v>
      </c>
      <c r="I20">
        <v>710.78153379437003</v>
      </c>
      <c r="J20">
        <v>463.14746622311901</v>
      </c>
      <c r="K20">
        <v>1731.8401384946701</v>
      </c>
      <c r="L20">
        <v>394.14145834971202</v>
      </c>
      <c r="M20">
        <v>293241245.01218599</v>
      </c>
      <c r="N20">
        <v>0</v>
      </c>
      <c r="O20">
        <v>493.14746622311901</v>
      </c>
      <c r="P20">
        <v>0</v>
      </c>
      <c r="Q20">
        <f t="shared" si="0"/>
        <v>1</v>
      </c>
      <c r="W20">
        <v>137</v>
      </c>
      <c r="X20">
        <v>668</v>
      </c>
      <c r="Y20">
        <v>2539.2970947368399</v>
      </c>
      <c r="Z20">
        <v>484.887808470398</v>
      </c>
      <c r="AA20">
        <v>360756529.50197601</v>
      </c>
      <c r="AB20">
        <v>0</v>
      </c>
      <c r="AC20">
        <v>669</v>
      </c>
      <c r="AD20">
        <v>497</v>
      </c>
      <c r="AE20">
        <v>1722.9556155339801</v>
      </c>
      <c r="AF20">
        <v>387.169347244525</v>
      </c>
      <c r="AG20">
        <v>288053994.34992701</v>
      </c>
      <c r="AH20">
        <v>0</v>
      </c>
      <c r="AI20">
        <v>527</v>
      </c>
      <c r="AJ20">
        <v>0</v>
      </c>
      <c r="AK20">
        <f t="shared" si="1"/>
        <v>0</v>
      </c>
    </row>
    <row r="21" spans="1:39" x14ac:dyDescent="0.25">
      <c r="B21">
        <v>2</v>
      </c>
      <c r="C21">
        <v>131</v>
      </c>
      <c r="D21">
        <v>499.246519648912</v>
      </c>
      <c r="E21">
        <v>2553.4012166329098</v>
      </c>
      <c r="F21">
        <v>417.05704431313097</v>
      </c>
      <c r="G21">
        <v>270252964.714908</v>
      </c>
      <c r="H21">
        <v>0</v>
      </c>
      <c r="I21">
        <v>521.246519648912</v>
      </c>
      <c r="J21">
        <v>360.401817442327</v>
      </c>
      <c r="K21">
        <v>1734.7847479601601</v>
      </c>
      <c r="L21">
        <v>320.74153668788699</v>
      </c>
      <c r="M21">
        <v>207840515.77375001</v>
      </c>
      <c r="N21">
        <v>0</v>
      </c>
      <c r="O21">
        <v>391.401817442327</v>
      </c>
      <c r="P21">
        <v>0.51500998165276002</v>
      </c>
      <c r="Q21">
        <f t="shared" si="0"/>
        <v>0</v>
      </c>
      <c r="W21">
        <v>131</v>
      </c>
      <c r="X21">
        <v>386</v>
      </c>
      <c r="Y21">
        <v>2536.00324444444</v>
      </c>
      <c r="Z21">
        <v>268.966770315556</v>
      </c>
      <c r="AA21">
        <v>174290467.16448</v>
      </c>
      <c r="AB21">
        <v>0</v>
      </c>
      <c r="AC21">
        <v>408</v>
      </c>
      <c r="AD21">
        <v>483</v>
      </c>
      <c r="AE21">
        <v>1721.2132727272699</v>
      </c>
      <c r="AF21">
        <v>382.37001599163301</v>
      </c>
      <c r="AG21">
        <v>247775770.362578</v>
      </c>
      <c r="AH21">
        <v>0</v>
      </c>
      <c r="AI21">
        <v>514</v>
      </c>
      <c r="AJ21">
        <v>0</v>
      </c>
      <c r="AK21">
        <f t="shared" si="1"/>
        <v>0</v>
      </c>
    </row>
    <row r="22" spans="1:39" x14ac:dyDescent="0.25">
      <c r="B22">
        <v>3</v>
      </c>
      <c r="C22">
        <v>204</v>
      </c>
      <c r="D22">
        <v>329.21656016878597</v>
      </c>
      <c r="E22">
        <v>2551.99092155279</v>
      </c>
      <c r="F22">
        <v>271.74687352638102</v>
      </c>
      <c r="G22">
        <v>202179673.90362701</v>
      </c>
      <c r="H22">
        <v>0</v>
      </c>
      <c r="I22">
        <v>372.21656016878597</v>
      </c>
      <c r="J22">
        <v>580.95977406269799</v>
      </c>
      <c r="K22">
        <v>1730.3605522463199</v>
      </c>
      <c r="L22">
        <v>508.80358791403199</v>
      </c>
      <c r="M22">
        <v>378549869.40803999</v>
      </c>
      <c r="N22">
        <v>0</v>
      </c>
      <c r="O22">
        <v>608.95977406269799</v>
      </c>
      <c r="P22">
        <v>0</v>
      </c>
      <c r="Q22">
        <f t="shared" si="0"/>
        <v>0</v>
      </c>
      <c r="R22">
        <f>Q22+Q21+Q20+Q19+Q18</f>
        <v>2</v>
      </c>
      <c r="W22">
        <v>204</v>
      </c>
      <c r="X22">
        <v>349</v>
      </c>
      <c r="Y22">
        <v>2533.73656470588</v>
      </c>
      <c r="Z22">
        <v>235.971912567646</v>
      </c>
      <c r="AA22">
        <v>175563102.95032901</v>
      </c>
      <c r="AB22">
        <v>0</v>
      </c>
      <c r="AC22">
        <v>392</v>
      </c>
      <c r="AD22">
        <v>367</v>
      </c>
      <c r="AE22">
        <v>1721.8904048096099</v>
      </c>
      <c r="AF22">
        <v>290.65414655095901</v>
      </c>
      <c r="AG22">
        <v>216246685.03391299</v>
      </c>
      <c r="AH22">
        <v>0</v>
      </c>
      <c r="AI22">
        <v>395</v>
      </c>
      <c r="AJ22">
        <v>4.86427817669174</v>
      </c>
      <c r="AK22">
        <f t="shared" si="1"/>
        <v>0</v>
      </c>
      <c r="AL22">
        <f>AK22+AK21+AK20+AK19+AK18</f>
        <v>1</v>
      </c>
    </row>
    <row r="23" spans="1:39" x14ac:dyDescent="0.25">
      <c r="B23">
        <v>4</v>
      </c>
      <c r="C23">
        <v>401</v>
      </c>
      <c r="D23">
        <v>987.67958220643004</v>
      </c>
      <c r="E23">
        <v>2545.1725641907801</v>
      </c>
      <c r="F23">
        <v>753.93733856796302</v>
      </c>
      <c r="G23">
        <v>542834883.76893306</v>
      </c>
      <c r="H23">
        <v>0</v>
      </c>
      <c r="I23">
        <v>1028.67958220643</v>
      </c>
      <c r="J23">
        <v>812.62336619732298</v>
      </c>
      <c r="K23">
        <v>1734.7918527715799</v>
      </c>
      <c r="L23">
        <v>706.88295299367098</v>
      </c>
      <c r="M23">
        <v>508955726.15544301</v>
      </c>
      <c r="N23">
        <v>0</v>
      </c>
      <c r="O23">
        <v>880.62336619732298</v>
      </c>
      <c r="P23">
        <v>0.94888520530823695</v>
      </c>
      <c r="Q23">
        <f t="shared" si="0"/>
        <v>1</v>
      </c>
      <c r="S23">
        <f>P23+P24+P25</f>
        <v>1.40068622284733</v>
      </c>
      <c r="W23">
        <v>401</v>
      </c>
      <c r="X23">
        <v>396</v>
      </c>
      <c r="Y23">
        <v>2533.8128000000002</v>
      </c>
      <c r="Z23">
        <v>262.80819715764801</v>
      </c>
      <c r="AA23">
        <v>189221901.95350701</v>
      </c>
      <c r="AB23">
        <v>0</v>
      </c>
      <c r="AC23">
        <v>437</v>
      </c>
      <c r="AD23">
        <v>477</v>
      </c>
      <c r="AE23">
        <v>1720.8358840579699</v>
      </c>
      <c r="AF23">
        <v>374.85672655330501</v>
      </c>
      <c r="AG23">
        <v>269896843.11838001</v>
      </c>
      <c r="AH23">
        <v>0</v>
      </c>
      <c r="AI23">
        <v>545</v>
      </c>
      <c r="AJ23">
        <v>9.64824285714284</v>
      </c>
      <c r="AK23">
        <f t="shared" si="1"/>
        <v>0</v>
      </c>
      <c r="AM23">
        <f>AJ23+AJ24+AJ25</f>
        <v>25.9650490219299</v>
      </c>
    </row>
    <row r="24" spans="1:39" x14ac:dyDescent="0.25">
      <c r="B24">
        <v>5</v>
      </c>
      <c r="C24">
        <v>477</v>
      </c>
      <c r="D24">
        <v>930.069448123862</v>
      </c>
      <c r="E24">
        <v>2539.0652070567098</v>
      </c>
      <c r="F24">
        <v>661.59625987677896</v>
      </c>
      <c r="G24">
        <v>492227617.348324</v>
      </c>
      <c r="H24">
        <v>0</v>
      </c>
      <c r="I24">
        <v>945.069448123862</v>
      </c>
      <c r="J24">
        <v>1115.6866107035</v>
      </c>
      <c r="K24">
        <v>1731.19244968159</v>
      </c>
      <c r="L24">
        <v>968.04817590715095</v>
      </c>
      <c r="M24">
        <v>720227842.87492096</v>
      </c>
      <c r="N24">
        <v>0</v>
      </c>
      <c r="O24">
        <v>1248.6866107035</v>
      </c>
      <c r="P24">
        <v>0.45180101753909002</v>
      </c>
      <c r="Q24">
        <f t="shared" si="0"/>
        <v>1</v>
      </c>
      <c r="W24">
        <v>477</v>
      </c>
      <c r="X24">
        <v>543</v>
      </c>
      <c r="Y24">
        <v>2532.7587600000002</v>
      </c>
      <c r="Z24">
        <v>353.66429826158901</v>
      </c>
      <c r="AA24">
        <v>263126237.90662199</v>
      </c>
      <c r="AB24">
        <v>0</v>
      </c>
      <c r="AC24">
        <v>558</v>
      </c>
      <c r="AD24">
        <v>956</v>
      </c>
      <c r="AE24">
        <v>1705.66397472924</v>
      </c>
      <c r="AF24">
        <v>682.55267985117996</v>
      </c>
      <c r="AG24">
        <v>507819193.80927801</v>
      </c>
      <c r="AH24">
        <v>0</v>
      </c>
      <c r="AI24">
        <v>1089</v>
      </c>
      <c r="AJ24">
        <v>4.7288471986216303</v>
      </c>
      <c r="AK24">
        <f t="shared" si="1"/>
        <v>1</v>
      </c>
    </row>
    <row r="25" spans="1:39" x14ac:dyDescent="0.25">
      <c r="B25">
        <v>6</v>
      </c>
      <c r="C25">
        <v>793</v>
      </c>
      <c r="D25">
        <v>444.27817203864299</v>
      </c>
      <c r="E25">
        <v>2543.6831212414199</v>
      </c>
      <c r="F25">
        <v>321.84402311946099</v>
      </c>
      <c r="G25">
        <v>231727696.64601201</v>
      </c>
      <c r="H25">
        <v>0</v>
      </c>
      <c r="I25">
        <v>600.27817203864299</v>
      </c>
      <c r="J25">
        <v>1193.1819131509999</v>
      </c>
      <c r="K25">
        <v>1716.3682377263001</v>
      </c>
      <c r="L25">
        <v>951.432611811897</v>
      </c>
      <c r="M25">
        <v>685031480.50456595</v>
      </c>
      <c r="N25">
        <v>0</v>
      </c>
      <c r="O25">
        <v>1362.1819131509999</v>
      </c>
      <c r="P25">
        <v>0</v>
      </c>
      <c r="Q25">
        <f t="shared" si="0"/>
        <v>1</v>
      </c>
      <c r="W25">
        <v>793</v>
      </c>
      <c r="X25">
        <v>694</v>
      </c>
      <c r="Y25">
        <v>2534.28240941176</v>
      </c>
      <c r="Z25">
        <v>448.85482949600203</v>
      </c>
      <c r="AA25">
        <v>323175477.23712099</v>
      </c>
      <c r="AB25">
        <v>0</v>
      </c>
      <c r="AC25">
        <v>850</v>
      </c>
      <c r="AD25">
        <v>738</v>
      </c>
      <c r="AE25">
        <v>1710.58437617554</v>
      </c>
      <c r="AF25">
        <v>493.73729944881399</v>
      </c>
      <c r="AG25">
        <v>355490855.60314602</v>
      </c>
      <c r="AH25">
        <v>0</v>
      </c>
      <c r="AI25">
        <v>907</v>
      </c>
      <c r="AJ25">
        <v>11.587958966165401</v>
      </c>
      <c r="AK25">
        <f t="shared" si="1"/>
        <v>0</v>
      </c>
    </row>
    <row r="26" spans="1:39" x14ac:dyDescent="0.25">
      <c r="A26">
        <v>1992</v>
      </c>
      <c r="B26">
        <v>7</v>
      </c>
      <c r="C26">
        <v>1660</v>
      </c>
      <c r="D26">
        <v>740.00176667883704</v>
      </c>
      <c r="E26">
        <v>2554.6349900656501</v>
      </c>
      <c r="F26">
        <v>574.87147219433803</v>
      </c>
      <c r="G26">
        <v>427704375.31258702</v>
      </c>
      <c r="H26">
        <v>0</v>
      </c>
      <c r="I26">
        <v>1014.00176667883</v>
      </c>
      <c r="J26">
        <v>1053.8688374993701</v>
      </c>
      <c r="K26">
        <v>1714.9199482745601</v>
      </c>
      <c r="L26">
        <v>763.38609543187704</v>
      </c>
      <c r="M26">
        <v>567959255.00131702</v>
      </c>
      <c r="N26">
        <v>0</v>
      </c>
      <c r="O26">
        <v>1269.8688374993701</v>
      </c>
      <c r="P26">
        <v>0</v>
      </c>
      <c r="Q26">
        <f t="shared" si="0"/>
        <v>1</v>
      </c>
      <c r="W26">
        <v>1660</v>
      </c>
      <c r="X26">
        <v>623</v>
      </c>
      <c r="Y26">
        <v>2548.4841381818101</v>
      </c>
      <c r="Z26">
        <v>447.72185941000299</v>
      </c>
      <c r="AA26">
        <v>333105063.40104198</v>
      </c>
      <c r="AB26">
        <v>0</v>
      </c>
      <c r="AC26">
        <v>897</v>
      </c>
      <c r="AD26">
        <v>766</v>
      </c>
      <c r="AE26">
        <v>1715.7039430122099</v>
      </c>
      <c r="AF26">
        <v>543.96328833459802</v>
      </c>
      <c r="AG26">
        <v>404708686.52094102</v>
      </c>
      <c r="AH26">
        <v>0</v>
      </c>
      <c r="AI26">
        <v>982</v>
      </c>
      <c r="AJ26">
        <v>6.8015280401003002</v>
      </c>
      <c r="AK26">
        <f t="shared" si="1"/>
        <v>0</v>
      </c>
    </row>
    <row r="27" spans="1:39" x14ac:dyDescent="0.25">
      <c r="B27">
        <v>8</v>
      </c>
      <c r="C27">
        <v>1020</v>
      </c>
      <c r="D27">
        <v>487.60120796938799</v>
      </c>
      <c r="E27">
        <v>2560.2397201518002</v>
      </c>
      <c r="F27">
        <v>417.05115308633998</v>
      </c>
      <c r="G27">
        <v>310286057.89623702</v>
      </c>
      <c r="H27">
        <v>0</v>
      </c>
      <c r="I27">
        <v>1010.60120796938</v>
      </c>
      <c r="J27">
        <v>809.88681688261397</v>
      </c>
      <c r="K27">
        <v>1721.4062609749001</v>
      </c>
      <c r="L27">
        <v>609.21521943827599</v>
      </c>
      <c r="M27">
        <v>453256123.26207697</v>
      </c>
      <c r="N27">
        <v>0</v>
      </c>
      <c r="O27">
        <v>1082.88681688261</v>
      </c>
      <c r="P27">
        <v>0</v>
      </c>
      <c r="Q27">
        <f t="shared" si="0"/>
        <v>1</v>
      </c>
      <c r="W27">
        <v>1020</v>
      </c>
      <c r="X27">
        <v>527</v>
      </c>
      <c r="Y27">
        <v>2554.1540066666598</v>
      </c>
      <c r="Z27">
        <v>422.84781918166601</v>
      </c>
      <c r="AA27">
        <v>314598777.47115999</v>
      </c>
      <c r="AB27">
        <v>0</v>
      </c>
      <c r="AC27">
        <v>1050</v>
      </c>
      <c r="AD27">
        <v>668</v>
      </c>
      <c r="AE27">
        <v>1726.48465851528</v>
      </c>
      <c r="AF27">
        <v>523.01640461086504</v>
      </c>
      <c r="AG27">
        <v>389124205.03048402</v>
      </c>
      <c r="AH27">
        <v>0</v>
      </c>
      <c r="AI27">
        <v>941</v>
      </c>
      <c r="AJ27">
        <v>1.4175836942355899</v>
      </c>
      <c r="AK27">
        <f t="shared" si="1"/>
        <v>0</v>
      </c>
    </row>
    <row r="28" spans="1:39" x14ac:dyDescent="0.25">
      <c r="B28">
        <v>9</v>
      </c>
      <c r="C28">
        <v>1030</v>
      </c>
      <c r="D28">
        <v>467.10552135205597</v>
      </c>
      <c r="E28">
        <v>2565.5848104630099</v>
      </c>
      <c r="F28">
        <v>421.24686198192001</v>
      </c>
      <c r="G28">
        <v>303297740.62698197</v>
      </c>
      <c r="H28">
        <v>0</v>
      </c>
      <c r="I28">
        <v>954.10552135205603</v>
      </c>
      <c r="J28">
        <v>472.81172489237201</v>
      </c>
      <c r="K28">
        <v>1732.32353121185</v>
      </c>
      <c r="L28">
        <v>394.49240284345302</v>
      </c>
      <c r="M28">
        <v>284034530.04728597</v>
      </c>
      <c r="N28">
        <v>0</v>
      </c>
      <c r="O28">
        <v>748.81172489237201</v>
      </c>
      <c r="P28">
        <v>0</v>
      </c>
      <c r="Q28">
        <f t="shared" si="0"/>
        <v>0</v>
      </c>
      <c r="W28">
        <v>1030</v>
      </c>
      <c r="X28">
        <v>309</v>
      </c>
      <c r="Y28">
        <v>2561.4659022222199</v>
      </c>
      <c r="Z28">
        <v>268.84455518353701</v>
      </c>
      <c r="AA28">
        <v>193568079.73214701</v>
      </c>
      <c r="AB28">
        <v>0</v>
      </c>
      <c r="AC28">
        <v>796</v>
      </c>
      <c r="AD28">
        <v>481</v>
      </c>
      <c r="AE28">
        <v>1733.20552470588</v>
      </c>
      <c r="AF28">
        <v>412.13115183814602</v>
      </c>
      <c r="AG28">
        <v>296734429.32346499</v>
      </c>
      <c r="AH28">
        <v>0</v>
      </c>
      <c r="AI28">
        <v>757</v>
      </c>
      <c r="AJ28">
        <v>0</v>
      </c>
      <c r="AK28">
        <f t="shared" si="1"/>
        <v>0</v>
      </c>
    </row>
    <row r="29" spans="1:39" x14ac:dyDescent="0.25">
      <c r="B29">
        <v>10</v>
      </c>
      <c r="C29">
        <v>953</v>
      </c>
      <c r="D29">
        <v>406.43347830955901</v>
      </c>
      <c r="E29">
        <v>2570.6155690044602</v>
      </c>
      <c r="F29">
        <v>385.38878283468699</v>
      </c>
      <c r="G29">
        <v>286729254.42900699</v>
      </c>
      <c r="H29">
        <v>0</v>
      </c>
      <c r="I29">
        <v>725.43347830955895</v>
      </c>
      <c r="J29">
        <v>666.789619074406</v>
      </c>
      <c r="K29">
        <v>1733.5613042111399</v>
      </c>
      <c r="L29">
        <v>584.21675339467504</v>
      </c>
      <c r="M29">
        <v>434657264.52563798</v>
      </c>
      <c r="N29">
        <v>0</v>
      </c>
      <c r="O29">
        <v>853.789619074406</v>
      </c>
      <c r="P29">
        <v>0</v>
      </c>
      <c r="Q29">
        <f t="shared" si="0"/>
        <v>0</v>
      </c>
      <c r="W29">
        <v>953</v>
      </c>
      <c r="X29">
        <v>194</v>
      </c>
      <c r="Y29">
        <v>2568.71275586206</v>
      </c>
      <c r="Z29">
        <v>180.614100547428</v>
      </c>
      <c r="AA29">
        <v>134376890.80728599</v>
      </c>
      <c r="AB29">
        <v>0</v>
      </c>
      <c r="AC29">
        <v>513</v>
      </c>
      <c r="AD29">
        <v>681</v>
      </c>
      <c r="AE29">
        <v>1729.59309570957</v>
      </c>
      <c r="AF29">
        <v>587.75404608343899</v>
      </c>
      <c r="AG29">
        <v>437289010.28607798</v>
      </c>
      <c r="AH29">
        <v>0</v>
      </c>
      <c r="AI29">
        <v>868</v>
      </c>
      <c r="AJ29">
        <v>0</v>
      </c>
      <c r="AK29">
        <f t="shared" si="1"/>
        <v>0</v>
      </c>
    </row>
    <row r="30" spans="1:39" x14ac:dyDescent="0.25">
      <c r="B30">
        <v>11</v>
      </c>
      <c r="C30">
        <v>428</v>
      </c>
      <c r="D30">
        <v>514.98746955014803</v>
      </c>
      <c r="E30">
        <v>2569.8606639342102</v>
      </c>
      <c r="F30">
        <v>494.17838479705301</v>
      </c>
      <c r="G30">
        <v>355808437.05387801</v>
      </c>
      <c r="H30">
        <v>0</v>
      </c>
      <c r="I30">
        <v>630.98746955014803</v>
      </c>
      <c r="J30">
        <v>659.06659447090601</v>
      </c>
      <c r="K30">
        <v>1732.99103980466</v>
      </c>
      <c r="L30">
        <v>579.408423326243</v>
      </c>
      <c r="M30">
        <v>417174064.79489499</v>
      </c>
      <c r="N30">
        <v>0</v>
      </c>
      <c r="O30">
        <v>749.06659447090601</v>
      </c>
      <c r="P30">
        <v>0</v>
      </c>
      <c r="Q30">
        <f t="shared" si="0"/>
        <v>1</v>
      </c>
      <c r="W30">
        <v>428</v>
      </c>
      <c r="X30">
        <v>484</v>
      </c>
      <c r="Y30">
        <v>2568.2156799999998</v>
      </c>
      <c r="Z30">
        <v>458.15741007944598</v>
      </c>
      <c r="AA30">
        <v>329873335.25720102</v>
      </c>
      <c r="AB30">
        <v>0</v>
      </c>
      <c r="AC30">
        <v>600</v>
      </c>
      <c r="AD30">
        <v>744</v>
      </c>
      <c r="AE30">
        <v>1726.42581834061</v>
      </c>
      <c r="AF30">
        <v>620.10067332544202</v>
      </c>
      <c r="AG30">
        <v>446472484.79431802</v>
      </c>
      <c r="AH30">
        <v>0</v>
      </c>
      <c r="AI30">
        <v>834</v>
      </c>
      <c r="AJ30">
        <v>0</v>
      </c>
      <c r="AK30">
        <f t="shared" si="1"/>
        <v>1</v>
      </c>
    </row>
    <row r="31" spans="1:39" x14ac:dyDescent="0.25">
      <c r="B31">
        <v>12</v>
      </c>
      <c r="C31">
        <v>229</v>
      </c>
      <c r="D31">
        <v>360.24165454292699</v>
      </c>
      <c r="E31">
        <v>2568.6678673542601</v>
      </c>
      <c r="F31">
        <v>346.10805871819502</v>
      </c>
      <c r="G31">
        <v>257504395.68633699</v>
      </c>
      <c r="H31">
        <v>0</v>
      </c>
      <c r="I31">
        <v>419.24165454292699</v>
      </c>
      <c r="J31">
        <v>408.06203941565298</v>
      </c>
      <c r="K31">
        <v>1733.22607624129</v>
      </c>
      <c r="L31">
        <v>361.61530276065503</v>
      </c>
      <c r="M31">
        <v>269041785.25392699</v>
      </c>
      <c r="N31">
        <v>0</v>
      </c>
      <c r="O31">
        <v>471.06203941565298</v>
      </c>
      <c r="P31">
        <v>0</v>
      </c>
      <c r="Q31">
        <f t="shared" si="0"/>
        <v>0</v>
      </c>
      <c r="W31">
        <v>229</v>
      </c>
      <c r="X31">
        <v>642</v>
      </c>
      <c r="Y31">
        <v>2564.32988571428</v>
      </c>
      <c r="Z31">
        <v>591.01677403779399</v>
      </c>
      <c r="AA31">
        <v>439716479.88411897</v>
      </c>
      <c r="AB31">
        <v>0</v>
      </c>
      <c r="AC31">
        <v>701</v>
      </c>
      <c r="AD31">
        <v>598</v>
      </c>
      <c r="AE31">
        <v>1728.7849991645701</v>
      </c>
      <c r="AF31">
        <v>498.70531976329198</v>
      </c>
      <c r="AG31">
        <v>371036757.90389001</v>
      </c>
      <c r="AH31">
        <v>0</v>
      </c>
      <c r="AI31">
        <v>661</v>
      </c>
      <c r="AJ31">
        <v>0</v>
      </c>
      <c r="AK31">
        <f t="shared" si="1"/>
        <v>1</v>
      </c>
    </row>
    <row r="32" spans="1:39" x14ac:dyDescent="0.25">
      <c r="B32">
        <v>1</v>
      </c>
      <c r="C32">
        <v>180</v>
      </c>
      <c r="D32">
        <v>370.924343616427</v>
      </c>
      <c r="E32">
        <v>2566.9045164510098</v>
      </c>
      <c r="F32">
        <v>351.54365832532102</v>
      </c>
      <c r="G32">
        <v>261548481.79403901</v>
      </c>
      <c r="H32">
        <v>0</v>
      </c>
      <c r="I32">
        <v>409.924343616427</v>
      </c>
      <c r="J32">
        <v>367.22244904952998</v>
      </c>
      <c r="K32">
        <v>1734.1188031321601</v>
      </c>
      <c r="L32">
        <v>327.76774241866798</v>
      </c>
      <c r="M32">
        <v>243859200.35948899</v>
      </c>
      <c r="N32">
        <v>0</v>
      </c>
      <c r="O32">
        <v>417.22244904952998</v>
      </c>
      <c r="P32">
        <v>0</v>
      </c>
      <c r="Q32">
        <f t="shared" si="0"/>
        <v>0</v>
      </c>
      <c r="W32">
        <v>180</v>
      </c>
      <c r="X32">
        <v>528</v>
      </c>
      <c r="Y32">
        <v>2560.90109538461</v>
      </c>
      <c r="Z32">
        <v>472.95098423466601</v>
      </c>
      <c r="AA32">
        <v>351875532.27059102</v>
      </c>
      <c r="AB32">
        <v>0</v>
      </c>
      <c r="AC32">
        <v>567</v>
      </c>
      <c r="AD32">
        <v>551</v>
      </c>
      <c r="AE32">
        <v>1729.1419153526899</v>
      </c>
      <c r="AF32">
        <v>466.40920480233399</v>
      </c>
      <c r="AG32">
        <v>347008448.37293601</v>
      </c>
      <c r="AH32">
        <v>0</v>
      </c>
      <c r="AI32">
        <v>601</v>
      </c>
      <c r="AJ32">
        <v>0</v>
      </c>
      <c r="AK32">
        <f t="shared" si="1"/>
        <v>0</v>
      </c>
    </row>
    <row r="33" spans="2:39" x14ac:dyDescent="0.25">
      <c r="B33">
        <v>2</v>
      </c>
      <c r="C33">
        <v>203</v>
      </c>
      <c r="D33">
        <v>406.95430473834398</v>
      </c>
      <c r="E33">
        <v>2565.2268756025001</v>
      </c>
      <c r="F33">
        <v>378.88706286006499</v>
      </c>
      <c r="G33">
        <v>245518816.73332199</v>
      </c>
      <c r="H33">
        <v>0</v>
      </c>
      <c r="I33">
        <v>475.95430473834398</v>
      </c>
      <c r="J33">
        <v>542.22261937012502</v>
      </c>
      <c r="K33">
        <v>1732.9099554377799</v>
      </c>
      <c r="L33">
        <v>479.60598670435201</v>
      </c>
      <c r="M33">
        <v>310784679.38441998</v>
      </c>
      <c r="N33">
        <v>0</v>
      </c>
      <c r="O33">
        <v>592.22261937012502</v>
      </c>
      <c r="P33">
        <v>0</v>
      </c>
      <c r="Q33">
        <f t="shared" si="0"/>
        <v>0</v>
      </c>
      <c r="W33">
        <v>203</v>
      </c>
      <c r="X33">
        <v>630</v>
      </c>
      <c r="Y33">
        <v>2557.0660738461502</v>
      </c>
      <c r="Z33">
        <v>542.14054795384504</v>
      </c>
      <c r="AA33">
        <v>351307075.07409197</v>
      </c>
      <c r="AB33">
        <v>0</v>
      </c>
      <c r="AC33">
        <v>699</v>
      </c>
      <c r="AD33">
        <v>541</v>
      </c>
      <c r="AE33">
        <v>1732.1302643312099</v>
      </c>
      <c r="AF33">
        <v>465.68164593140602</v>
      </c>
      <c r="AG33">
        <v>301761706.56355101</v>
      </c>
      <c r="AH33">
        <v>0</v>
      </c>
      <c r="AI33">
        <v>591</v>
      </c>
      <c r="AJ33">
        <v>0</v>
      </c>
      <c r="AK33">
        <f t="shared" si="1"/>
        <v>1</v>
      </c>
    </row>
    <row r="34" spans="2:39" x14ac:dyDescent="0.25">
      <c r="B34">
        <v>3</v>
      </c>
      <c r="C34">
        <v>264</v>
      </c>
      <c r="D34">
        <v>733.79263245204697</v>
      </c>
      <c r="E34">
        <v>2560.6193799331099</v>
      </c>
      <c r="F34">
        <v>652.78757527454104</v>
      </c>
      <c r="G34">
        <v>485673956.00425899</v>
      </c>
      <c r="H34">
        <v>0</v>
      </c>
      <c r="I34">
        <v>821.79263245204697</v>
      </c>
      <c r="J34">
        <v>726.75034557028903</v>
      </c>
      <c r="K34">
        <v>1734.8931143488201</v>
      </c>
      <c r="L34">
        <v>641.41547998462295</v>
      </c>
      <c r="M34">
        <v>477213117.10856003</v>
      </c>
      <c r="N34">
        <v>0</v>
      </c>
      <c r="O34">
        <v>777.75034557028903</v>
      </c>
      <c r="P34">
        <v>0</v>
      </c>
      <c r="Q34">
        <f t="shared" si="0"/>
        <v>1</v>
      </c>
      <c r="R34">
        <f>Q34+Q33+Q32+Q31+Q30</f>
        <v>2</v>
      </c>
      <c r="W34">
        <v>264</v>
      </c>
      <c r="X34">
        <v>489</v>
      </c>
      <c r="Y34">
        <v>2554.6461568</v>
      </c>
      <c r="Z34">
        <v>411.61990671516003</v>
      </c>
      <c r="AA34">
        <v>306245210.59607899</v>
      </c>
      <c r="AB34">
        <v>0</v>
      </c>
      <c r="AC34">
        <v>577</v>
      </c>
      <c r="AD34">
        <v>600</v>
      </c>
      <c r="AE34">
        <v>1731.83</v>
      </c>
      <c r="AF34">
        <v>440.51380694554098</v>
      </c>
      <c r="AG34">
        <v>327742272.36748201</v>
      </c>
      <c r="AH34">
        <v>0</v>
      </c>
      <c r="AI34">
        <v>551</v>
      </c>
      <c r="AJ34">
        <v>0.68597417669174399</v>
      </c>
      <c r="AK34">
        <f t="shared" si="1"/>
        <v>0</v>
      </c>
      <c r="AL34">
        <f>AK34+AK33+AK32+AK31+AK30</f>
        <v>3</v>
      </c>
    </row>
    <row r="35" spans="2:39" x14ac:dyDescent="0.25">
      <c r="B35">
        <v>4</v>
      </c>
      <c r="C35">
        <v>494</v>
      </c>
      <c r="D35">
        <v>680.20130792860596</v>
      </c>
      <c r="E35">
        <v>2558.7792261222698</v>
      </c>
      <c r="F35">
        <v>588.045489962038</v>
      </c>
      <c r="G35">
        <v>423392752.77266699</v>
      </c>
      <c r="H35">
        <v>0</v>
      </c>
      <c r="I35">
        <v>774.20130792860596</v>
      </c>
      <c r="J35">
        <v>828.65350721751702</v>
      </c>
      <c r="K35">
        <v>1733.7982971087299</v>
      </c>
      <c r="L35">
        <v>732.51601753479599</v>
      </c>
      <c r="M35">
        <v>527411532.62505299</v>
      </c>
      <c r="N35">
        <v>0</v>
      </c>
      <c r="O35">
        <v>952.65350721751702</v>
      </c>
      <c r="P35">
        <v>0</v>
      </c>
      <c r="Q35">
        <f t="shared" si="0"/>
        <v>1</v>
      </c>
      <c r="S35">
        <f>P35+P36+P37</f>
        <v>0.87715905637275804</v>
      </c>
      <c r="W35">
        <v>494</v>
      </c>
      <c r="X35">
        <v>493</v>
      </c>
      <c r="Y35">
        <v>2554.6565248000002</v>
      </c>
      <c r="Z35">
        <v>409.90031619452202</v>
      </c>
      <c r="AA35">
        <v>295128227.66005599</v>
      </c>
      <c r="AB35">
        <v>0</v>
      </c>
      <c r="AC35">
        <v>587</v>
      </c>
      <c r="AD35">
        <v>532</v>
      </c>
      <c r="AE35">
        <v>1732.57</v>
      </c>
      <c r="AF35">
        <v>474.22654028797501</v>
      </c>
      <c r="AG35">
        <v>341443109.00734198</v>
      </c>
      <c r="AH35">
        <v>0</v>
      </c>
      <c r="AI35">
        <v>656</v>
      </c>
      <c r="AJ35">
        <v>6.7711228571428403</v>
      </c>
      <c r="AK35">
        <f t="shared" si="1"/>
        <v>0</v>
      </c>
      <c r="AM35">
        <f>AJ35+AJ36+AJ37</f>
        <v>20.923609021929899</v>
      </c>
    </row>
    <row r="36" spans="2:39" x14ac:dyDescent="0.25">
      <c r="B36">
        <v>5</v>
      </c>
      <c r="C36">
        <v>706</v>
      </c>
      <c r="D36">
        <v>912.95652413736502</v>
      </c>
      <c r="E36">
        <v>2556.6051457501599</v>
      </c>
      <c r="F36">
        <v>767.24101190159399</v>
      </c>
      <c r="G36">
        <v>570827312.85478604</v>
      </c>
      <c r="H36">
        <v>0</v>
      </c>
      <c r="I36">
        <v>1017.95652413736</v>
      </c>
      <c r="J36">
        <v>1126.9955220895299</v>
      </c>
      <c r="K36">
        <v>1731.4886656004401</v>
      </c>
      <c r="L36">
        <v>974.33415946717901</v>
      </c>
      <c r="M36">
        <v>724904614.64358103</v>
      </c>
      <c r="N36">
        <v>0</v>
      </c>
      <c r="O36">
        <v>1245.9955220895299</v>
      </c>
      <c r="P36">
        <v>0.52387913497566596</v>
      </c>
      <c r="Q36">
        <f t="shared" si="0"/>
        <v>1</v>
      </c>
      <c r="W36">
        <v>706</v>
      </c>
      <c r="X36">
        <v>574</v>
      </c>
      <c r="Y36">
        <v>2556.0867199999998</v>
      </c>
      <c r="Z36">
        <v>478.09281733808098</v>
      </c>
      <c r="AA36">
        <v>355701056.09953201</v>
      </c>
      <c r="AB36">
        <v>0</v>
      </c>
      <c r="AC36">
        <v>679</v>
      </c>
      <c r="AD36">
        <v>955</v>
      </c>
      <c r="AE36">
        <v>1726.73</v>
      </c>
      <c r="AF36">
        <v>822.64648024082999</v>
      </c>
      <c r="AG36">
        <v>612048981.29917705</v>
      </c>
      <c r="AH36">
        <v>0</v>
      </c>
      <c r="AI36">
        <v>1074</v>
      </c>
      <c r="AJ36">
        <v>5.1306071986216297</v>
      </c>
      <c r="AK36">
        <f t="shared" si="1"/>
        <v>1</v>
      </c>
    </row>
    <row r="37" spans="2:39" x14ac:dyDescent="0.25">
      <c r="B37">
        <v>6</v>
      </c>
      <c r="C37">
        <v>986</v>
      </c>
      <c r="D37">
        <v>790.12285398951303</v>
      </c>
      <c r="E37">
        <v>2558.6</v>
      </c>
      <c r="F37">
        <v>666.23607064195699</v>
      </c>
      <c r="G37">
        <v>479689970.86220902</v>
      </c>
      <c r="H37">
        <v>0</v>
      </c>
      <c r="I37">
        <v>1115.1228539895101</v>
      </c>
      <c r="J37">
        <v>1163.4366915419901</v>
      </c>
      <c r="K37">
        <v>1730.4798460291699</v>
      </c>
      <c r="L37">
        <v>989.21868724716205</v>
      </c>
      <c r="M37">
        <v>712237454.81795704</v>
      </c>
      <c r="N37">
        <v>0</v>
      </c>
      <c r="O37">
        <v>1340.4366915419901</v>
      </c>
      <c r="P37">
        <v>0.35327992139709202</v>
      </c>
      <c r="Q37">
        <f t="shared" si="0"/>
        <v>1</v>
      </c>
      <c r="W37">
        <v>986</v>
      </c>
      <c r="X37">
        <v>705</v>
      </c>
      <c r="Y37">
        <v>2558.9462769230699</v>
      </c>
      <c r="Z37">
        <v>596.14330307307796</v>
      </c>
      <c r="AA37">
        <v>429223178.21261603</v>
      </c>
      <c r="AB37">
        <v>0</v>
      </c>
      <c r="AC37">
        <v>1030</v>
      </c>
      <c r="AD37">
        <v>829</v>
      </c>
      <c r="AE37">
        <v>1730.78</v>
      </c>
      <c r="AF37">
        <v>710.40583716958702</v>
      </c>
      <c r="AG37">
        <v>511492202.76210302</v>
      </c>
      <c r="AH37">
        <v>0</v>
      </c>
      <c r="AI37">
        <v>1006</v>
      </c>
      <c r="AJ37">
        <v>9.0218789661654704</v>
      </c>
      <c r="AK37">
        <f t="shared" si="1"/>
        <v>1</v>
      </c>
    </row>
    <row r="38" spans="2:39" x14ac:dyDescent="0.25">
      <c r="G38">
        <f>SUM(G2:G37)/100000000</f>
        <v>128.992142638003</v>
      </c>
      <c r="M38">
        <f>SUM(M2:M37)/100000000</f>
        <v>151.31822956081399</v>
      </c>
      <c r="AA38">
        <f>SUM(AA2:AA37)/100000000</f>
        <v>118.50078802959</v>
      </c>
      <c r="AG38">
        <f>SUM(AG2:AG37)/100000000</f>
        <v>144.82270842209999</v>
      </c>
    </row>
    <row r="39" spans="2:39" x14ac:dyDescent="0.25">
      <c r="M39">
        <f>G38+M38</f>
        <v>280.31037219881699</v>
      </c>
      <c r="AG39">
        <f>AA38+AG38</f>
        <v>263.32349645169</v>
      </c>
    </row>
  </sheetData>
  <autoFilter ref="AJ1:AJ145" xr:uid="{00000000-0009-0000-0000-000005000000}"/>
  <phoneticPr fontId="2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1990-1992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晓</cp:lastModifiedBy>
  <dcterms:created xsi:type="dcterms:W3CDTF">2023-05-12T11:15:00Z</dcterms:created>
  <dcterms:modified xsi:type="dcterms:W3CDTF">2026-08-15T14:08:06Z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FA6AB9EF28C146409C7C228551FF06D9_12</vt:lpwstr>
  </property>
  <property fmtid="{D5CDD505-2E9C-101B-9397-08002B2CF9AE}" pid="4" name="CalculationRule">
    <vt:i4>0</vt:i4>
  </property>
</Properties>
</file>