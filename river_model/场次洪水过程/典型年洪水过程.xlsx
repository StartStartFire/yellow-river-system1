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45F4E29-C561-4AD1-BA64-C2055E43E10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" i="1"/>
  <c r="C4" i="1"/>
  <c r="C3" i="1"/>
  <c r="C2" i="1"/>
  <c r="C6" i="1" l="1"/>
  <c r="G6" i="1" s="1"/>
  <c r="C7" i="1"/>
  <c r="G7" i="1" s="1"/>
  <c r="C9" i="1"/>
  <c r="G9" i="1" s="1"/>
  <c r="C10" i="1"/>
  <c r="D10" i="1" s="1"/>
  <c r="C11" i="1"/>
  <c r="G11" i="1" s="1"/>
  <c r="C13" i="1"/>
  <c r="G13" i="1" s="1"/>
  <c r="C14" i="1"/>
  <c r="G14" i="1" s="1"/>
  <c r="C15" i="1"/>
  <c r="G15" i="1" s="1"/>
  <c r="M5" i="1"/>
  <c r="N5" i="1"/>
  <c r="O5" i="1"/>
  <c r="L5" i="1"/>
  <c r="G3" i="1" s="1"/>
  <c r="C20" i="1" l="1"/>
  <c r="D2" i="1"/>
  <c r="C18" i="1"/>
  <c r="D18" i="1" s="1"/>
  <c r="C41" i="1"/>
  <c r="G41" i="1" s="1"/>
  <c r="C17" i="1"/>
  <c r="G17" i="1" s="1"/>
  <c r="C22" i="1"/>
  <c r="G22" i="1" s="1"/>
  <c r="C40" i="1"/>
  <c r="D40" i="1" s="1"/>
  <c r="C16" i="1"/>
  <c r="G16" i="1" s="1"/>
  <c r="C36" i="1"/>
  <c r="C12" i="1"/>
  <c r="G12" i="1" s="1"/>
  <c r="C39" i="1"/>
  <c r="D39" i="1" s="1"/>
  <c r="H39" i="1" s="1"/>
  <c r="C38" i="1"/>
  <c r="G38" i="1" s="1"/>
  <c r="C37" i="1"/>
  <c r="D37" i="1" s="1"/>
  <c r="H37" i="1" s="1"/>
  <c r="C35" i="1"/>
  <c r="D35" i="1" s="1"/>
  <c r="E35" i="1" s="1"/>
  <c r="F35" i="1" s="1"/>
  <c r="J35" i="1" s="1"/>
  <c r="C34" i="1"/>
  <c r="G34" i="1" s="1"/>
  <c r="C33" i="1"/>
  <c r="G33" i="1" s="1"/>
  <c r="C32" i="1"/>
  <c r="G32" i="1" s="1"/>
  <c r="C8" i="1"/>
  <c r="D8" i="1" s="1"/>
  <c r="E8" i="1" s="1"/>
  <c r="F8" i="1" s="1"/>
  <c r="J8" i="1" s="1"/>
  <c r="D22" i="1"/>
  <c r="E22" i="1" s="1"/>
  <c r="I22" i="1" s="1"/>
  <c r="C31" i="1"/>
  <c r="G31" i="1" s="1"/>
  <c r="C30" i="1"/>
  <c r="G30" i="1" s="1"/>
  <c r="C29" i="1"/>
  <c r="D29" i="1" s="1"/>
  <c r="E29" i="1" s="1"/>
  <c r="F29" i="1" s="1"/>
  <c r="J29" i="1" s="1"/>
  <c r="C28" i="1"/>
  <c r="D28" i="1" s="1"/>
  <c r="C27" i="1"/>
  <c r="G27" i="1" s="1"/>
  <c r="C21" i="1"/>
  <c r="G21" i="1" s="1"/>
  <c r="D3" i="1"/>
  <c r="H3" i="1" s="1"/>
  <c r="C19" i="1"/>
  <c r="D19" i="1" s="1"/>
  <c r="H19" i="1" s="1"/>
  <c r="H2" i="1"/>
  <c r="E2" i="1"/>
  <c r="H40" i="1"/>
  <c r="E40" i="1"/>
  <c r="H18" i="1"/>
  <c r="E18" i="1"/>
  <c r="E19" i="1"/>
  <c r="G18" i="1"/>
  <c r="H10" i="1"/>
  <c r="E10" i="1"/>
  <c r="G19" i="1"/>
  <c r="D17" i="1"/>
  <c r="G2" i="1"/>
  <c r="D41" i="1"/>
  <c r="G40" i="1"/>
  <c r="G39" i="1"/>
  <c r="I29" i="1"/>
  <c r="G37" i="1"/>
  <c r="H29" i="1"/>
  <c r="D15" i="1"/>
  <c r="D14" i="1"/>
  <c r="D13" i="1"/>
  <c r="D12" i="1"/>
  <c r="D31" i="1"/>
  <c r="D30" i="1"/>
  <c r="G10" i="1"/>
  <c r="G29" i="1"/>
  <c r="G28" i="1"/>
  <c r="G35" i="1"/>
  <c r="D34" i="1"/>
  <c r="C25" i="1"/>
  <c r="C24" i="1"/>
  <c r="G24" i="1" s="1"/>
  <c r="G4" i="1"/>
  <c r="D24" i="1"/>
  <c r="H24" i="1" s="1"/>
  <c r="D4" i="1"/>
  <c r="H4" i="1" s="1"/>
  <c r="D11" i="1"/>
  <c r="D9" i="1"/>
  <c r="D27" i="1"/>
  <c r="D7" i="1"/>
  <c r="C26" i="1"/>
  <c r="D6" i="1"/>
  <c r="C5" i="1"/>
  <c r="C23" i="1"/>
  <c r="G23" i="1" s="1"/>
  <c r="D23" i="1"/>
  <c r="H23" i="1" s="1"/>
  <c r="E23" i="1"/>
  <c r="I23" i="1" s="1"/>
  <c r="F23" i="1"/>
  <c r="J23" i="1" s="1"/>
  <c r="G36" i="1" l="1"/>
  <c r="D36" i="1"/>
  <c r="E3" i="1"/>
  <c r="I3" i="1" s="1"/>
  <c r="H22" i="1"/>
  <c r="E37" i="1"/>
  <c r="H8" i="1"/>
  <c r="F22" i="1"/>
  <c r="J22" i="1" s="1"/>
  <c r="E28" i="1"/>
  <c r="H28" i="1"/>
  <c r="H35" i="1"/>
  <c r="D16" i="1"/>
  <c r="H16" i="1" s="1"/>
  <c r="G8" i="1"/>
  <c r="E39" i="1"/>
  <c r="G20" i="1"/>
  <c r="D20" i="1"/>
  <c r="I35" i="1"/>
  <c r="I8" i="1"/>
  <c r="D32" i="1"/>
  <c r="H32" i="1" s="1"/>
  <c r="D33" i="1"/>
  <c r="H33" i="1" s="1"/>
  <c r="D38" i="1"/>
  <c r="H38" i="1" s="1"/>
  <c r="D21" i="1"/>
  <c r="I19" i="1"/>
  <c r="F19" i="1"/>
  <c r="J19" i="1" s="1"/>
  <c r="G25" i="1"/>
  <c r="D25" i="1"/>
  <c r="I39" i="1"/>
  <c r="F39" i="1"/>
  <c r="J39" i="1" s="1"/>
  <c r="E34" i="1"/>
  <c r="H34" i="1"/>
  <c r="F3" i="1"/>
  <c r="J3" i="1" s="1"/>
  <c r="G5" i="1"/>
  <c r="D5" i="1"/>
  <c r="I18" i="1"/>
  <c r="F18" i="1"/>
  <c r="J18" i="1" s="1"/>
  <c r="E6" i="1"/>
  <c r="H6" i="1"/>
  <c r="G26" i="1"/>
  <c r="D26" i="1"/>
  <c r="E7" i="1"/>
  <c r="H7" i="1"/>
  <c r="E27" i="1"/>
  <c r="H27" i="1"/>
  <c r="E30" i="1"/>
  <c r="H30" i="1"/>
  <c r="H41" i="1"/>
  <c r="E41" i="1"/>
  <c r="E9" i="1"/>
  <c r="H9" i="1"/>
  <c r="H31" i="1"/>
  <c r="E31" i="1"/>
  <c r="H11" i="1"/>
  <c r="E11" i="1"/>
  <c r="H12" i="1"/>
  <c r="E12" i="1"/>
  <c r="I37" i="1"/>
  <c r="F37" i="1"/>
  <c r="J37" i="1" s="1"/>
  <c r="E13" i="1"/>
  <c r="H13" i="1"/>
  <c r="E14" i="1"/>
  <c r="H14" i="1"/>
  <c r="H17" i="1"/>
  <c r="E17" i="1"/>
  <c r="I40" i="1"/>
  <c r="F40" i="1"/>
  <c r="J40" i="1" s="1"/>
  <c r="E4" i="1"/>
  <c r="E15" i="1"/>
  <c r="H15" i="1"/>
  <c r="E24" i="1"/>
  <c r="F10" i="1"/>
  <c r="J10" i="1" s="1"/>
  <c r="I10" i="1"/>
  <c r="I2" i="1"/>
  <c r="F2" i="1"/>
  <c r="J2" i="1" s="1"/>
  <c r="H20" i="1" l="1"/>
  <c r="E20" i="1"/>
  <c r="E38" i="1"/>
  <c r="E32" i="1"/>
  <c r="F28" i="1"/>
  <c r="J28" i="1" s="1"/>
  <c r="I28" i="1"/>
  <c r="E33" i="1"/>
  <c r="I33" i="1" s="1"/>
  <c r="E16" i="1"/>
  <c r="E36" i="1"/>
  <c r="H36" i="1"/>
  <c r="E21" i="1"/>
  <c r="H21" i="1"/>
  <c r="H5" i="1"/>
  <c r="E5" i="1"/>
  <c r="I24" i="1"/>
  <c r="F24" i="1"/>
  <c r="J24" i="1" s="1"/>
  <c r="F9" i="1"/>
  <c r="J9" i="1" s="1"/>
  <c r="I9" i="1"/>
  <c r="F41" i="1"/>
  <c r="J41" i="1" s="1"/>
  <c r="I41" i="1"/>
  <c r="F34" i="1"/>
  <c r="J34" i="1" s="1"/>
  <c r="I34" i="1"/>
  <c r="I4" i="1"/>
  <c r="F4" i="1"/>
  <c r="J4" i="1" s="1"/>
  <c r="I30" i="1"/>
  <c r="F30" i="1"/>
  <c r="J30" i="1" s="1"/>
  <c r="I17" i="1"/>
  <c r="F17" i="1"/>
  <c r="J17" i="1" s="1"/>
  <c r="F27" i="1"/>
  <c r="J27" i="1" s="1"/>
  <c r="I27" i="1"/>
  <c r="F14" i="1"/>
  <c r="J14" i="1" s="1"/>
  <c r="I14" i="1"/>
  <c r="I7" i="1"/>
  <c r="F7" i="1"/>
  <c r="J7" i="1" s="1"/>
  <c r="E26" i="1"/>
  <c r="H26" i="1"/>
  <c r="I32" i="1"/>
  <c r="F32" i="1"/>
  <c r="J32" i="1" s="1"/>
  <c r="F31" i="1"/>
  <c r="J31" i="1" s="1"/>
  <c r="I31" i="1"/>
  <c r="F15" i="1"/>
  <c r="J15" i="1" s="1"/>
  <c r="I15" i="1"/>
  <c r="I38" i="1"/>
  <c r="F38" i="1"/>
  <c r="J38" i="1" s="1"/>
  <c r="F13" i="1"/>
  <c r="J13" i="1" s="1"/>
  <c r="I13" i="1"/>
  <c r="E25" i="1"/>
  <c r="H25" i="1"/>
  <c r="I12" i="1"/>
  <c r="F12" i="1"/>
  <c r="J12" i="1" s="1"/>
  <c r="F6" i="1"/>
  <c r="J6" i="1" s="1"/>
  <c r="I6" i="1"/>
  <c r="I11" i="1"/>
  <c r="F11" i="1"/>
  <c r="J11" i="1" s="1"/>
  <c r="I16" i="1"/>
  <c r="F16" i="1"/>
  <c r="J16" i="1" s="1"/>
  <c r="I36" i="1" l="1"/>
  <c r="F36" i="1"/>
  <c r="J36" i="1" s="1"/>
  <c r="I21" i="1"/>
  <c r="F21" i="1"/>
  <c r="J21" i="1" s="1"/>
  <c r="F33" i="1"/>
  <c r="J33" i="1" s="1"/>
  <c r="F20" i="1"/>
  <c r="J20" i="1" s="1"/>
  <c r="I20" i="1"/>
  <c r="I25" i="1"/>
  <c r="F25" i="1"/>
  <c r="J25" i="1" s="1"/>
  <c r="F26" i="1"/>
  <c r="J26" i="1" s="1"/>
  <c r="I26" i="1"/>
  <c r="I5" i="1"/>
  <c r="F5" i="1"/>
  <c r="J5" i="1" s="1"/>
</calcChain>
</file>

<file path=xl/sharedStrings.xml><?xml version="1.0" encoding="utf-8"?>
<sst xmlns="http://schemas.openxmlformats.org/spreadsheetml/2006/main" count="14" uniqueCount="10">
  <si>
    <t>时间</t>
    <phoneticPr fontId="1" type="noConversion"/>
  </si>
  <si>
    <t>Q</t>
    <phoneticPr fontId="1" type="noConversion"/>
  </si>
  <si>
    <t>100年一遇</t>
    <phoneticPr fontId="1" type="noConversion"/>
  </si>
  <si>
    <t>50年一遇</t>
    <phoneticPr fontId="1" type="noConversion"/>
  </si>
  <si>
    <t>10年一遇</t>
    <phoneticPr fontId="1" type="noConversion"/>
  </si>
  <si>
    <t>5年一遇</t>
    <phoneticPr fontId="1" type="noConversion"/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</si>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</sst>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Alignment="1"/>
    <xf numFmtId="14" fontId="2" fillId="0" borderId="1" xfId="0" applyNumberFormat="1" applyFont="1" applyFill="1" applyBorder="1" applyAlignment="1" applyProtection="1">
      <alignment horizontal="center" vertical="top" wrapText="1"/>
    </xf>
    <xf numFmtId="0" fontId="2" fillId="0" borderId="1" xfId="0" applyNumberFormat="1" applyFont="1" applyFill="1" applyBorder="1" applyAlignment="1" applyProtection="1">
      <alignment horizontal="center" vertical="top" wrapText="1"/>
    </xf>
    <xf numFmtId="9" fontId="0" fillId="0" borderId="0" xfId="0" applyNumberFormat="1"/>
    <xf numFmtId="14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0" fillId="2" borderId="0" xfId="0" applyFill="1"/>
    <xf numFmtId="14" fontId="2" fillId="3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0" fillId="3" borderId="0" xfId="0" applyFill="1"/>
    <xf numFmtId="14" fontId="2" fillId="4" borderId="1" xfId="0" applyNumberFormat="1" applyFont="1" applyFill="1" applyBorder="1" applyAlignment="1" applyProtection="1">
      <alignment horizontal="center" vertical="top" wrapText="1"/>
    </xf>
    <xf numFmtId="0" fontId="2" fillId="4" borderId="1" xfId="0" applyNumberFormat="1" applyFont="1" applyFill="1" applyBorder="1" applyAlignment="1" applyProtection="1">
      <alignment horizontal="center" vertical="top" wrapText="1"/>
    </xf>
    <xf numFmtId="0" fontId="0" fillId="4" borderId="0" xfId="0" applyFill="1"/>
    <xf numFmtId="14" fontId="2" fillId="5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center" vertical="top" wrapText="1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workbookViewId="0">
      <selection activeCell="B24" sqref="B24"/>
    </sheetView>
  </sheetViews>
  <sheetFormatPr defaultRowHeight="14.25"/>
  <sheetData>
    <row r="1" spans="1:21">
      <c r="A1" s="1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R1" s="4" t="s">
        <v>2</v>
      </c>
      <c r="S1" s="4" t="s">
        <v>3</v>
      </c>
      <c r="T1" s="4" t="s">
        <v>4</v>
      </c>
      <c r="U1" s="4" t="s">
        <v>5</v>
      </c>
    </row>
    <row r="2" spans="1:21" ht="15" thickBot="1">
      <c r="A2" s="2">
        <v>44366.466666666667</v>
      </c>
      <c r="B2" s="3">
        <v>1090</v>
      </c>
      <c r="C2">
        <f>$L$5*B2</f>
        <v>2372.4183673469388</v>
      </c>
      <c r="D2">
        <f>$M$5*C2</f>
        <v>2154.9744897959181</v>
      </c>
      <c r="E2">
        <f>$N$5*D2</f>
        <v>1617.2040816326528</v>
      </c>
      <c r="F2">
        <f>$O$5*E2</f>
        <v>1360.831632653061</v>
      </c>
      <c r="G2">
        <f>C2*8.64/10000</f>
        <v>2.0497694693877553</v>
      </c>
      <c r="H2">
        <f t="shared" ref="H2:J2" si="0">D2*8.64/10000</f>
        <v>1.8618979591836735</v>
      </c>
      <c r="I2">
        <f t="shared" si="0"/>
        <v>1.3972643265306119</v>
      </c>
      <c r="J2">
        <f t="shared" si="0"/>
        <v>1.1757585306122449</v>
      </c>
      <c r="Q2">
        <v>946</v>
      </c>
      <c r="R2">
        <f>$L$5*Q2</f>
        <v>2058.9979591836736</v>
      </c>
      <c r="S2">
        <f>$M$5*R2</f>
        <v>1870.2806122448981</v>
      </c>
      <c r="T2">
        <f>$N$5*S2</f>
        <v>1403.5551020408163</v>
      </c>
      <c r="U2">
        <f>$O$5*T2</f>
        <v>1181.0520408163266</v>
      </c>
    </row>
    <row r="3" spans="1:21" ht="15" thickBot="1">
      <c r="A3" s="2">
        <v>44367.333333333336</v>
      </c>
      <c r="B3" s="3">
        <v>1200</v>
      </c>
      <c r="C3">
        <f>$L$5*B3</f>
        <v>2611.8367346938776</v>
      </c>
      <c r="D3">
        <f t="shared" ref="D3:D41" si="1">$M$5*C3</f>
        <v>2372.4489795918366</v>
      </c>
      <c r="E3">
        <f t="shared" ref="E3:E41" si="2">$N$5*D3</f>
        <v>1780.408163265306</v>
      </c>
      <c r="F3">
        <f t="shared" ref="F3:F41" si="3">$O$5*E3</f>
        <v>1498.1632653061224</v>
      </c>
      <c r="G3">
        <f t="shared" ref="G3:G41" si="4">C3*8.64/10000</f>
        <v>2.2566269387755105</v>
      </c>
      <c r="H3">
        <f t="shared" ref="H3:H41" si="5">D3*8.64/10000</f>
        <v>2.0497959183673471</v>
      </c>
      <c r="I3">
        <f t="shared" ref="I3:I41" si="6">E3*8.64/10000</f>
        <v>1.5382726530612245</v>
      </c>
      <c r="J3">
        <f t="shared" ref="J3:J41" si="7">F3*8.64/10000</f>
        <v>1.29441306122449</v>
      </c>
      <c r="Q3">
        <v>1020</v>
      </c>
      <c r="R3">
        <f t="shared" ref="R3:U31" si="8">$L$5*Q3</f>
        <v>2220.0612244897961</v>
      </c>
      <c r="S3">
        <f t="shared" ref="S3:S31" si="9">$M$5*R3</f>
        <v>2016.5816326530614</v>
      </c>
      <c r="T3">
        <f t="shared" ref="T3:T31" si="10">$N$5*S3</f>
        <v>1513.3469387755104</v>
      </c>
      <c r="U3">
        <f t="shared" ref="U3:U31" si="11">$O$5*T3</f>
        <v>1273.4387755102041</v>
      </c>
    </row>
    <row r="4" spans="1:21" ht="15" thickBot="1">
      <c r="A4" s="2">
        <v>44367.377083333333</v>
      </c>
      <c r="B4" s="3">
        <v>1180</v>
      </c>
      <c r="C4">
        <f>$L$5*B4</f>
        <v>2568.3061224489797</v>
      </c>
      <c r="D4">
        <f t="shared" si="1"/>
        <v>2332.908163265306</v>
      </c>
      <c r="E4">
        <f t="shared" si="2"/>
        <v>1750.7346938775511</v>
      </c>
      <c r="F4">
        <f t="shared" si="3"/>
        <v>1473.1938775510205</v>
      </c>
      <c r="G4">
        <f t="shared" si="4"/>
        <v>2.2190164897959188</v>
      </c>
      <c r="H4">
        <f t="shared" si="5"/>
        <v>2.0156326530612243</v>
      </c>
      <c r="I4">
        <f t="shared" si="6"/>
        <v>1.5126347755102043</v>
      </c>
      <c r="J4">
        <f t="shared" si="7"/>
        <v>1.2728395102040819</v>
      </c>
      <c r="K4">
        <v>1960</v>
      </c>
      <c r="L4">
        <v>4266</v>
      </c>
      <c r="M4">
        <v>3875</v>
      </c>
      <c r="N4">
        <v>2908</v>
      </c>
      <c r="O4">
        <v>2447</v>
      </c>
      <c r="Q4">
        <v>1190</v>
      </c>
      <c r="R4">
        <f t="shared" si="8"/>
        <v>2590.0714285714284</v>
      </c>
      <c r="S4">
        <f t="shared" si="9"/>
        <v>2352.6785714285711</v>
      </c>
      <c r="T4">
        <f t="shared" si="10"/>
        <v>1765.5714285714284</v>
      </c>
      <c r="U4">
        <f t="shared" si="11"/>
        <v>1485.6785714285713</v>
      </c>
    </row>
    <row r="5" spans="1:21" ht="15" thickBot="1">
      <c r="A5" s="2">
        <v>44368.333333333336</v>
      </c>
      <c r="B5" s="3">
        <v>1180</v>
      </c>
      <c r="C5">
        <f t="shared" ref="C3:C41" si="12">$L$5*B5</f>
        <v>2568.3061224489797</v>
      </c>
      <c r="D5">
        <f t="shared" si="1"/>
        <v>2332.908163265306</v>
      </c>
      <c r="E5">
        <f t="shared" si="2"/>
        <v>1750.7346938775511</v>
      </c>
      <c r="F5">
        <f t="shared" si="3"/>
        <v>1473.1938775510205</v>
      </c>
      <c r="G5">
        <f t="shared" si="4"/>
        <v>2.2190164897959188</v>
      </c>
      <c r="H5">
        <f t="shared" si="5"/>
        <v>2.0156326530612243</v>
      </c>
      <c r="I5">
        <f t="shared" si="6"/>
        <v>1.5126347755102043</v>
      </c>
      <c r="J5">
        <f t="shared" si="7"/>
        <v>1.2728395102040819</v>
      </c>
      <c r="L5">
        <f>L4/K4</f>
        <v>2.176530612244898</v>
      </c>
      <c r="M5">
        <f t="shared" ref="M5:O5" si="13">M4/L4</f>
        <v>0.90834505391467413</v>
      </c>
      <c r="N5">
        <f t="shared" si="13"/>
        <v>0.75045161290322582</v>
      </c>
      <c r="O5">
        <f t="shared" si="13"/>
        <v>0.84147180192572213</v>
      </c>
      <c r="Q5">
        <v>1210</v>
      </c>
      <c r="R5">
        <f t="shared" si="8"/>
        <v>2633.6020408163267</v>
      </c>
      <c r="S5">
        <f t="shared" si="9"/>
        <v>2392.2193877551022</v>
      </c>
      <c r="T5">
        <f t="shared" si="10"/>
        <v>1795.2448979591838</v>
      </c>
      <c r="U5">
        <f t="shared" si="11"/>
        <v>1510.6479591836735</v>
      </c>
    </row>
    <row r="6" spans="1:21" ht="15" thickBot="1">
      <c r="A6" s="2">
        <v>44369.333333333336</v>
      </c>
      <c r="B6" s="3">
        <v>1270</v>
      </c>
      <c r="C6">
        <f t="shared" si="12"/>
        <v>2764.1938775510203</v>
      </c>
      <c r="D6">
        <f t="shared" si="1"/>
        <v>2510.8418367346935</v>
      </c>
      <c r="E6">
        <f t="shared" si="2"/>
        <v>1884.2653061224487</v>
      </c>
      <c r="F6">
        <f t="shared" si="3"/>
        <v>1585.5561224489793</v>
      </c>
      <c r="G6">
        <f t="shared" si="4"/>
        <v>2.3882635102040819</v>
      </c>
      <c r="H6">
        <f t="shared" si="5"/>
        <v>2.1693673469387753</v>
      </c>
      <c r="I6">
        <f t="shared" si="6"/>
        <v>1.6280052244897958</v>
      </c>
      <c r="J6">
        <f t="shared" si="7"/>
        <v>1.3699204897959181</v>
      </c>
      <c r="Q6">
        <v>1250</v>
      </c>
      <c r="R6">
        <f t="shared" si="8"/>
        <v>2720.6632653061224</v>
      </c>
      <c r="S6">
        <f t="shared" si="9"/>
        <v>2471.3010204081629</v>
      </c>
      <c r="T6">
        <f t="shared" si="10"/>
        <v>1854.5918367346937</v>
      </c>
      <c r="U6">
        <f t="shared" si="11"/>
        <v>1560.5867346938774</v>
      </c>
    </row>
    <row r="7" spans="1:21" ht="15" thickBot="1">
      <c r="A7" s="2">
        <v>44369.85</v>
      </c>
      <c r="B7" s="3">
        <v>1290</v>
      </c>
      <c r="C7">
        <f t="shared" si="12"/>
        <v>2807.7244897959185</v>
      </c>
      <c r="D7">
        <f t="shared" si="1"/>
        <v>2550.3826530612246</v>
      </c>
      <c r="E7">
        <f t="shared" si="2"/>
        <v>1913.9387755102041</v>
      </c>
      <c r="F7">
        <f t="shared" si="3"/>
        <v>1610.5255102040817</v>
      </c>
      <c r="G7">
        <f t="shared" si="4"/>
        <v>2.4258739591836735</v>
      </c>
      <c r="H7">
        <f t="shared" si="5"/>
        <v>2.2035306122448981</v>
      </c>
      <c r="I7">
        <f t="shared" si="6"/>
        <v>1.6536431020408162</v>
      </c>
      <c r="J7">
        <f t="shared" si="7"/>
        <v>1.3914940408163268</v>
      </c>
      <c r="Q7">
        <v>1430</v>
      </c>
      <c r="R7">
        <f t="shared" si="8"/>
        <v>3112.4387755102039</v>
      </c>
      <c r="S7">
        <f t="shared" si="9"/>
        <v>2827.1683673469383</v>
      </c>
      <c r="T7">
        <f t="shared" si="10"/>
        <v>2121.6530612244896</v>
      </c>
      <c r="U7">
        <f t="shared" si="11"/>
        <v>1785.3112244897957</v>
      </c>
    </row>
    <row r="8" spans="1:21" ht="15" thickBot="1">
      <c r="A8" s="2">
        <v>44370.333333333336</v>
      </c>
      <c r="B8" s="3">
        <v>1490</v>
      </c>
      <c r="C8">
        <f t="shared" si="12"/>
        <v>3243.0306122448978</v>
      </c>
      <c r="D8">
        <f t="shared" si="1"/>
        <v>2945.7908163265301</v>
      </c>
      <c r="E8">
        <f t="shared" si="2"/>
        <v>2210.6734693877547</v>
      </c>
      <c r="F8">
        <f t="shared" si="3"/>
        <v>1860.2193877551017</v>
      </c>
      <c r="G8">
        <f t="shared" si="4"/>
        <v>2.8019784489795918</v>
      </c>
      <c r="H8">
        <f t="shared" si="5"/>
        <v>2.545163265306122</v>
      </c>
      <c r="I8">
        <f t="shared" si="6"/>
        <v>1.9100218775510203</v>
      </c>
      <c r="J8">
        <f t="shared" si="7"/>
        <v>1.607229551020408</v>
      </c>
      <c r="Q8">
        <v>1500</v>
      </c>
      <c r="R8">
        <f t="shared" si="8"/>
        <v>3264.795918367347</v>
      </c>
      <c r="S8">
        <f t="shared" si="9"/>
        <v>2965.5612244897957</v>
      </c>
      <c r="T8">
        <f t="shared" si="10"/>
        <v>2225.5102040816323</v>
      </c>
      <c r="U8">
        <f t="shared" si="11"/>
        <v>1872.7040816326528</v>
      </c>
    </row>
    <row r="9" spans="1:21" ht="15" thickBot="1">
      <c r="A9" s="2">
        <v>44370.379166666666</v>
      </c>
      <c r="B9" s="3">
        <v>1450</v>
      </c>
      <c r="C9">
        <f t="shared" si="12"/>
        <v>3155.9693877551022</v>
      </c>
      <c r="D9">
        <f t="shared" si="1"/>
        <v>2866.7091836734694</v>
      </c>
      <c r="E9">
        <f t="shared" si="2"/>
        <v>2151.3265306122448</v>
      </c>
      <c r="F9">
        <f t="shared" si="3"/>
        <v>1810.2806122448978</v>
      </c>
      <c r="G9">
        <f t="shared" si="4"/>
        <v>2.7267575510204085</v>
      </c>
      <c r="H9">
        <f t="shared" si="5"/>
        <v>2.4768367346938778</v>
      </c>
      <c r="I9">
        <f t="shared" si="6"/>
        <v>1.8587461224489799</v>
      </c>
      <c r="J9">
        <f t="shared" si="7"/>
        <v>1.5640824489795917</v>
      </c>
      <c r="Q9">
        <v>1620</v>
      </c>
      <c r="R9">
        <f t="shared" si="8"/>
        <v>3525.9795918367349</v>
      </c>
      <c r="S9">
        <f t="shared" si="9"/>
        <v>3202.8061224489797</v>
      </c>
      <c r="T9">
        <f t="shared" si="10"/>
        <v>2403.5510204081634</v>
      </c>
      <c r="U9">
        <f t="shared" si="11"/>
        <v>2022.5204081632653</v>
      </c>
    </row>
    <row r="10" spans="1:21" ht="15" thickBot="1">
      <c r="A10" s="2">
        <v>44371.333333333336</v>
      </c>
      <c r="B10" s="3">
        <v>1490</v>
      </c>
      <c r="C10">
        <f t="shared" si="12"/>
        <v>3243.0306122448978</v>
      </c>
      <c r="D10">
        <f t="shared" si="1"/>
        <v>2945.7908163265301</v>
      </c>
      <c r="E10">
        <f t="shared" si="2"/>
        <v>2210.6734693877547</v>
      </c>
      <c r="F10">
        <f t="shared" si="3"/>
        <v>1860.2193877551017</v>
      </c>
      <c r="G10">
        <f t="shared" si="4"/>
        <v>2.8019784489795918</v>
      </c>
      <c r="H10">
        <f t="shared" si="5"/>
        <v>2.545163265306122</v>
      </c>
      <c r="I10">
        <f t="shared" si="6"/>
        <v>1.9100218775510203</v>
      </c>
      <c r="J10">
        <f t="shared" si="7"/>
        <v>1.607229551020408</v>
      </c>
      <c r="Q10">
        <v>1660</v>
      </c>
      <c r="R10">
        <f t="shared" si="8"/>
        <v>3613.0408163265306</v>
      </c>
      <c r="S10">
        <f t="shared" si="9"/>
        <v>3281.8877551020405</v>
      </c>
      <c r="T10">
        <f t="shared" si="10"/>
        <v>2462.8979591836733</v>
      </c>
      <c r="U10">
        <f t="shared" si="11"/>
        <v>2072.4591836734694</v>
      </c>
    </row>
    <row r="11" spans="1:21" ht="15" thickBot="1">
      <c r="A11" s="2">
        <v>44371.89166666667</v>
      </c>
      <c r="B11" s="3">
        <v>1570</v>
      </c>
      <c r="C11">
        <f t="shared" si="12"/>
        <v>3417.1530612244896</v>
      </c>
      <c r="D11">
        <f t="shared" si="1"/>
        <v>3103.954081632653</v>
      </c>
      <c r="E11">
        <f t="shared" si="2"/>
        <v>2329.3673469387754</v>
      </c>
      <c r="F11">
        <f t="shared" si="3"/>
        <v>1960.0969387755101</v>
      </c>
      <c r="G11">
        <f t="shared" si="4"/>
        <v>2.9524202448979593</v>
      </c>
      <c r="H11">
        <f t="shared" si="5"/>
        <v>2.6818163265306123</v>
      </c>
      <c r="I11">
        <f t="shared" si="6"/>
        <v>2.012573387755102</v>
      </c>
      <c r="J11">
        <f t="shared" si="7"/>
        <v>1.6935237551020408</v>
      </c>
      <c r="Q11">
        <v>1730</v>
      </c>
      <c r="R11">
        <f t="shared" si="8"/>
        <v>3765.3979591836733</v>
      </c>
      <c r="S11">
        <f t="shared" si="9"/>
        <v>3420.2806122448978</v>
      </c>
      <c r="T11">
        <f t="shared" si="10"/>
        <v>2566.7551020408164</v>
      </c>
      <c r="U11">
        <f t="shared" si="11"/>
        <v>2159.8520408163267</v>
      </c>
    </row>
    <row r="12" spans="1:21" ht="15" thickBot="1">
      <c r="A12" s="14">
        <v>44372.333333333336</v>
      </c>
      <c r="B12" s="15">
        <v>1620</v>
      </c>
      <c r="C12" s="16">
        <f t="shared" si="12"/>
        <v>3525.9795918367349</v>
      </c>
      <c r="D12" s="16">
        <f t="shared" si="1"/>
        <v>3202.8061224489797</v>
      </c>
      <c r="E12" s="16">
        <f t="shared" si="2"/>
        <v>2403.5510204081634</v>
      </c>
      <c r="F12" s="16">
        <f t="shared" si="3"/>
        <v>2022.5204081632653</v>
      </c>
      <c r="G12">
        <f t="shared" si="4"/>
        <v>3.0464463673469391</v>
      </c>
      <c r="H12">
        <f t="shared" si="5"/>
        <v>2.7672244897959186</v>
      </c>
      <c r="I12">
        <f t="shared" si="6"/>
        <v>2.0766680816326533</v>
      </c>
      <c r="J12">
        <f t="shared" si="7"/>
        <v>1.7474576326530613</v>
      </c>
      <c r="Q12">
        <v>1840</v>
      </c>
      <c r="R12">
        <f t="shared" si="8"/>
        <v>4004.8163265306121</v>
      </c>
      <c r="S12">
        <f t="shared" si="9"/>
        <v>3637.7551020408159</v>
      </c>
      <c r="T12">
        <f t="shared" si="10"/>
        <v>2729.9591836734689</v>
      </c>
      <c r="U12">
        <f t="shared" si="11"/>
        <v>2297.1836734693875</v>
      </c>
    </row>
    <row r="13" spans="1:21" ht="15" thickBot="1">
      <c r="A13" s="14">
        <v>44372.487500000003</v>
      </c>
      <c r="B13" s="15">
        <v>1660</v>
      </c>
      <c r="C13" s="16">
        <f t="shared" si="12"/>
        <v>3613.0408163265306</v>
      </c>
      <c r="D13" s="16">
        <f t="shared" si="1"/>
        <v>3281.8877551020405</v>
      </c>
      <c r="E13" s="16">
        <f t="shared" si="2"/>
        <v>2462.8979591836733</v>
      </c>
      <c r="F13" s="16">
        <f t="shared" si="3"/>
        <v>2072.4591836734694</v>
      </c>
      <c r="G13">
        <f t="shared" si="4"/>
        <v>3.1216672653061224</v>
      </c>
      <c r="H13">
        <f t="shared" si="5"/>
        <v>2.8355510204081633</v>
      </c>
      <c r="I13">
        <f t="shared" si="6"/>
        <v>2.1279438367346937</v>
      </c>
      <c r="J13">
        <f t="shared" si="7"/>
        <v>1.7906047346938776</v>
      </c>
      <c r="Q13">
        <v>1890</v>
      </c>
      <c r="R13">
        <f t="shared" si="8"/>
        <v>4113.6428571428569</v>
      </c>
      <c r="S13">
        <f t="shared" si="9"/>
        <v>3736.6071428571427</v>
      </c>
      <c r="T13">
        <f t="shared" si="10"/>
        <v>2804.1428571428569</v>
      </c>
      <c r="U13">
        <f t="shared" si="11"/>
        <v>2359.6071428571427</v>
      </c>
    </row>
    <row r="14" spans="1:21" ht="15" thickBot="1">
      <c r="A14" s="14">
        <v>44373.333333333336</v>
      </c>
      <c r="B14" s="15">
        <v>1580</v>
      </c>
      <c r="C14" s="16">
        <f t="shared" si="12"/>
        <v>3438.9183673469388</v>
      </c>
      <c r="D14" s="16">
        <f t="shared" si="1"/>
        <v>3123.7244897959181</v>
      </c>
      <c r="E14" s="16">
        <f t="shared" si="2"/>
        <v>2344.204081632653</v>
      </c>
      <c r="F14" s="16">
        <f t="shared" si="3"/>
        <v>1972.5816326530612</v>
      </c>
      <c r="G14">
        <f t="shared" si="4"/>
        <v>2.9712254693877553</v>
      </c>
      <c r="H14">
        <f t="shared" si="5"/>
        <v>2.6988979591836735</v>
      </c>
      <c r="I14">
        <f t="shared" si="6"/>
        <v>2.0253923265306124</v>
      </c>
      <c r="J14">
        <f t="shared" si="7"/>
        <v>1.7043105306122448</v>
      </c>
      <c r="Q14">
        <v>1900</v>
      </c>
      <c r="R14">
        <f t="shared" si="8"/>
        <v>4135.408163265306</v>
      </c>
      <c r="S14">
        <f t="shared" si="9"/>
        <v>3756.3775510204077</v>
      </c>
      <c r="T14">
        <f t="shared" si="10"/>
        <v>2818.9795918367345</v>
      </c>
      <c r="U14">
        <f t="shared" si="11"/>
        <v>2372.0918367346935</v>
      </c>
    </row>
    <row r="15" spans="1:21" ht="15" thickBot="1">
      <c r="A15" s="14">
        <v>44373.5625</v>
      </c>
      <c r="B15" s="15">
        <v>1750</v>
      </c>
      <c r="C15" s="16">
        <f t="shared" si="12"/>
        <v>3808.9285714285716</v>
      </c>
      <c r="D15" s="16">
        <f t="shared" si="1"/>
        <v>3459.8214285714284</v>
      </c>
      <c r="E15" s="16">
        <f t="shared" si="2"/>
        <v>2596.4285714285716</v>
      </c>
      <c r="F15" s="16">
        <f t="shared" si="3"/>
        <v>2184.8214285714284</v>
      </c>
      <c r="G15">
        <f t="shared" si="4"/>
        <v>3.2909142857142863</v>
      </c>
      <c r="H15">
        <f t="shared" si="5"/>
        <v>2.9892857142857143</v>
      </c>
      <c r="I15">
        <f t="shared" si="6"/>
        <v>2.2433142857142858</v>
      </c>
      <c r="J15">
        <f t="shared" si="7"/>
        <v>1.8876857142857142</v>
      </c>
      <c r="Q15">
        <v>1840</v>
      </c>
      <c r="R15">
        <f t="shared" si="8"/>
        <v>4004.8163265306121</v>
      </c>
      <c r="S15">
        <f t="shared" si="9"/>
        <v>3637.7551020408159</v>
      </c>
      <c r="T15">
        <f t="shared" si="10"/>
        <v>2729.9591836734689</v>
      </c>
      <c r="U15">
        <f t="shared" si="11"/>
        <v>2297.1836734693875</v>
      </c>
    </row>
    <row r="16" spans="1:21" ht="15" thickBot="1">
      <c r="A16" s="14">
        <v>44373.70208333333</v>
      </c>
      <c r="B16" s="15">
        <v>1850</v>
      </c>
      <c r="C16" s="16">
        <f t="shared" si="12"/>
        <v>4026.5816326530612</v>
      </c>
      <c r="D16" s="16">
        <f t="shared" si="1"/>
        <v>3657.5255102040815</v>
      </c>
      <c r="E16" s="16">
        <f t="shared" si="2"/>
        <v>2744.795918367347</v>
      </c>
      <c r="F16" s="16">
        <f t="shared" si="3"/>
        <v>2309.6683673469388</v>
      </c>
      <c r="G16">
        <f t="shared" si="4"/>
        <v>3.478966530612245</v>
      </c>
      <c r="H16">
        <f t="shared" si="5"/>
        <v>3.1601020408163265</v>
      </c>
      <c r="I16">
        <f t="shared" si="6"/>
        <v>2.371503673469388</v>
      </c>
      <c r="J16">
        <f t="shared" si="7"/>
        <v>1.995553469387755</v>
      </c>
      <c r="Q16">
        <v>1870</v>
      </c>
      <c r="R16">
        <f t="shared" si="8"/>
        <v>4070.112244897959</v>
      </c>
      <c r="S16">
        <f t="shared" si="9"/>
        <v>3697.0663265306121</v>
      </c>
      <c r="T16">
        <f t="shared" si="10"/>
        <v>2774.4693877551022</v>
      </c>
      <c r="U16">
        <f t="shared" si="11"/>
        <v>2334.637755102041</v>
      </c>
    </row>
    <row r="17" spans="1:21" ht="15" thickBot="1">
      <c r="A17" s="11">
        <v>44374.333333333336</v>
      </c>
      <c r="B17" s="12">
        <v>1680</v>
      </c>
      <c r="C17" s="13">
        <f t="shared" si="12"/>
        <v>3656.5714285714284</v>
      </c>
      <c r="D17" s="13">
        <f t="shared" si="1"/>
        <v>3321.4285714285711</v>
      </c>
      <c r="E17" s="13">
        <f t="shared" si="2"/>
        <v>2492.5714285714284</v>
      </c>
      <c r="F17" s="13">
        <f t="shared" si="3"/>
        <v>2097.4285714285711</v>
      </c>
      <c r="G17">
        <f t="shared" si="4"/>
        <v>3.1592777142857145</v>
      </c>
      <c r="H17">
        <f t="shared" si="5"/>
        <v>2.8697142857142857</v>
      </c>
      <c r="I17">
        <f t="shared" si="6"/>
        <v>2.1535817142857145</v>
      </c>
      <c r="J17">
        <f t="shared" si="7"/>
        <v>1.8121782857142854</v>
      </c>
      <c r="Q17">
        <v>1850</v>
      </c>
      <c r="R17">
        <f t="shared" si="8"/>
        <v>4026.5816326530612</v>
      </c>
      <c r="S17">
        <f t="shared" si="9"/>
        <v>3657.5255102040815</v>
      </c>
      <c r="T17">
        <f t="shared" si="10"/>
        <v>2744.795918367347</v>
      </c>
      <c r="U17">
        <f t="shared" si="11"/>
        <v>2309.6683673469388</v>
      </c>
    </row>
    <row r="18" spans="1:21" ht="15" thickBot="1">
      <c r="A18" s="11">
        <v>44375.333333333336</v>
      </c>
      <c r="B18" s="12">
        <v>1840</v>
      </c>
      <c r="C18" s="13">
        <f t="shared" si="12"/>
        <v>4004.8163265306121</v>
      </c>
      <c r="D18" s="13">
        <f t="shared" si="1"/>
        <v>3637.7551020408159</v>
      </c>
      <c r="E18" s="13">
        <f t="shared" si="2"/>
        <v>2729.9591836734689</v>
      </c>
      <c r="F18" s="13">
        <f t="shared" si="3"/>
        <v>2297.1836734693875</v>
      </c>
      <c r="G18">
        <f t="shared" si="4"/>
        <v>3.460161306122449</v>
      </c>
      <c r="H18">
        <f t="shared" si="5"/>
        <v>3.1430204081632653</v>
      </c>
      <c r="I18">
        <f t="shared" si="6"/>
        <v>2.3586847346938771</v>
      </c>
      <c r="J18">
        <f t="shared" si="7"/>
        <v>1.984766693877551</v>
      </c>
      <c r="Q18">
        <v>1730</v>
      </c>
      <c r="R18">
        <f t="shared" si="8"/>
        <v>3765.3979591836733</v>
      </c>
      <c r="S18">
        <f t="shared" si="9"/>
        <v>3420.2806122448978</v>
      </c>
      <c r="T18">
        <f t="shared" si="10"/>
        <v>2566.7551020408164</v>
      </c>
      <c r="U18">
        <f t="shared" si="11"/>
        <v>2159.8520408163267</v>
      </c>
    </row>
    <row r="19" spans="1:21" ht="15" thickBot="1">
      <c r="A19" s="11">
        <v>44376.333333333336</v>
      </c>
      <c r="B19" s="12">
        <v>1870</v>
      </c>
      <c r="C19" s="13">
        <f t="shared" si="12"/>
        <v>4070.112244897959</v>
      </c>
      <c r="D19" s="13">
        <f t="shared" si="1"/>
        <v>3697.0663265306121</v>
      </c>
      <c r="E19" s="13">
        <f t="shared" si="2"/>
        <v>2774.4693877551022</v>
      </c>
      <c r="F19" s="13">
        <f t="shared" si="3"/>
        <v>2334.637755102041</v>
      </c>
      <c r="G19">
        <f t="shared" si="4"/>
        <v>3.5165769795918371</v>
      </c>
      <c r="H19">
        <f t="shared" si="5"/>
        <v>3.1942653061224489</v>
      </c>
      <c r="I19">
        <f t="shared" si="6"/>
        <v>2.3971415510204084</v>
      </c>
      <c r="J19">
        <f t="shared" si="7"/>
        <v>2.0171270204081635</v>
      </c>
      <c r="Q19">
        <v>1630</v>
      </c>
      <c r="R19">
        <f t="shared" si="8"/>
        <v>3547.7448979591836</v>
      </c>
      <c r="S19">
        <f t="shared" si="9"/>
        <v>3222.5765306122448</v>
      </c>
      <c r="T19">
        <f t="shared" si="10"/>
        <v>2418.387755102041</v>
      </c>
      <c r="U19">
        <f t="shared" si="11"/>
        <v>2035.0051020408164</v>
      </c>
    </row>
    <row r="20" spans="1:21" ht="15" thickBot="1">
      <c r="A20" s="5">
        <v>44376.537499999999</v>
      </c>
      <c r="B20" s="6">
        <v>1900</v>
      </c>
      <c r="C20" s="7">
        <f t="shared" si="12"/>
        <v>4135.408163265306</v>
      </c>
      <c r="D20" s="7">
        <f t="shared" si="1"/>
        <v>3756.3775510204077</v>
      </c>
      <c r="E20" s="7">
        <f t="shared" si="2"/>
        <v>2818.9795918367345</v>
      </c>
      <c r="F20" s="7">
        <f t="shared" si="3"/>
        <v>2372.0918367346935</v>
      </c>
      <c r="G20">
        <f t="shared" si="4"/>
        <v>3.5729926530612248</v>
      </c>
      <c r="H20">
        <f t="shared" si="5"/>
        <v>3.2455102040816324</v>
      </c>
      <c r="I20">
        <f t="shared" si="6"/>
        <v>2.4355983673469388</v>
      </c>
      <c r="J20">
        <f t="shared" si="7"/>
        <v>2.0494873469387751</v>
      </c>
      <c r="Q20">
        <v>1530</v>
      </c>
      <c r="R20">
        <f t="shared" si="8"/>
        <v>3330.091836734694</v>
      </c>
      <c r="S20">
        <f t="shared" si="9"/>
        <v>3024.8724489795918</v>
      </c>
      <c r="T20">
        <f t="shared" si="10"/>
        <v>2270.0204081632655</v>
      </c>
      <c r="U20">
        <f t="shared" si="11"/>
        <v>1910.1581632653063</v>
      </c>
    </row>
    <row r="21" spans="1:21" ht="15" thickBot="1">
      <c r="A21" s="5">
        <v>44376.737500000003</v>
      </c>
      <c r="B21" s="6">
        <v>1940</v>
      </c>
      <c r="C21" s="7">
        <f t="shared" si="12"/>
        <v>4222.4693877551017</v>
      </c>
      <c r="D21" s="7">
        <f t="shared" si="1"/>
        <v>3835.4591836734689</v>
      </c>
      <c r="E21" s="7">
        <f t="shared" si="2"/>
        <v>2878.3265306122448</v>
      </c>
      <c r="F21" s="7">
        <f t="shared" si="3"/>
        <v>2422.0306122448978</v>
      </c>
      <c r="G21">
        <f t="shared" si="4"/>
        <v>3.6482135510204081</v>
      </c>
      <c r="H21">
        <f t="shared" si="5"/>
        <v>3.3138367346938771</v>
      </c>
      <c r="I21">
        <f t="shared" si="6"/>
        <v>2.4868741224489797</v>
      </c>
      <c r="J21">
        <f t="shared" si="7"/>
        <v>2.0926344489795921</v>
      </c>
      <c r="Q21">
        <v>1420</v>
      </c>
      <c r="R21">
        <f t="shared" si="8"/>
        <v>3090.6734693877552</v>
      </c>
      <c r="S21">
        <f t="shared" si="9"/>
        <v>2807.3979591836733</v>
      </c>
      <c r="T21">
        <f t="shared" si="10"/>
        <v>2106.8163265306121</v>
      </c>
      <c r="U21">
        <f t="shared" si="11"/>
        <v>1772.8265306122446</v>
      </c>
    </row>
    <row r="22" spans="1:21" ht="15" thickBot="1">
      <c r="A22" s="5">
        <v>44376.758333333331</v>
      </c>
      <c r="B22" s="6">
        <v>1950</v>
      </c>
      <c r="C22" s="7">
        <f t="shared" si="12"/>
        <v>4244.2346938775509</v>
      </c>
      <c r="D22" s="7">
        <f t="shared" si="1"/>
        <v>3855.2295918367345</v>
      </c>
      <c r="E22" s="7">
        <f t="shared" si="2"/>
        <v>2893.1632653061224</v>
      </c>
      <c r="F22" s="7">
        <f t="shared" si="3"/>
        <v>2434.5153061224487</v>
      </c>
      <c r="G22">
        <f t="shared" si="4"/>
        <v>3.6670187755102046</v>
      </c>
      <c r="H22">
        <f t="shared" si="5"/>
        <v>3.3309183673469387</v>
      </c>
      <c r="I22">
        <f t="shared" si="6"/>
        <v>2.4996930612244896</v>
      </c>
      <c r="J22">
        <f t="shared" si="7"/>
        <v>2.1034212244897956</v>
      </c>
      <c r="Q22">
        <v>1320</v>
      </c>
      <c r="R22">
        <f t="shared" si="8"/>
        <v>2873.0204081632655</v>
      </c>
      <c r="S22">
        <f t="shared" si="9"/>
        <v>2609.6938775510207</v>
      </c>
      <c r="T22">
        <f t="shared" si="10"/>
        <v>1958.4489795918371</v>
      </c>
      <c r="U22">
        <f t="shared" si="11"/>
        <v>1647.9795918367349</v>
      </c>
    </row>
    <row r="23" spans="1:21" ht="15" thickBot="1">
      <c r="A23" s="5">
        <v>44376.762499999997</v>
      </c>
      <c r="B23" s="6">
        <v>1940</v>
      </c>
      <c r="C23" s="7">
        <f t="shared" si="12"/>
        <v>4222.4693877551017</v>
      </c>
      <c r="D23" s="7">
        <f t="shared" si="1"/>
        <v>3835.4591836734689</v>
      </c>
      <c r="E23" s="7">
        <f t="shared" si="2"/>
        <v>2878.3265306122448</v>
      </c>
      <c r="F23" s="7">
        <f t="shared" si="3"/>
        <v>2422.0306122448978</v>
      </c>
      <c r="G23">
        <f t="shared" si="4"/>
        <v>3.6482135510204081</v>
      </c>
      <c r="H23">
        <f t="shared" si="5"/>
        <v>3.3138367346938771</v>
      </c>
      <c r="I23">
        <f t="shared" si="6"/>
        <v>2.4868741224489797</v>
      </c>
      <c r="J23">
        <f t="shared" si="7"/>
        <v>2.0926344489795921</v>
      </c>
      <c r="Q23">
        <v>1250</v>
      </c>
      <c r="R23">
        <f t="shared" si="8"/>
        <v>2720.6632653061224</v>
      </c>
      <c r="S23">
        <f t="shared" si="9"/>
        <v>2471.3010204081629</v>
      </c>
      <c r="T23">
        <f t="shared" si="10"/>
        <v>1854.5918367346937</v>
      </c>
      <c r="U23">
        <f t="shared" si="11"/>
        <v>1560.5867346938774</v>
      </c>
    </row>
    <row r="24" spans="1:21" ht="15" thickBot="1">
      <c r="A24" s="8">
        <v>44376.775000000001</v>
      </c>
      <c r="B24" s="9">
        <v>1960</v>
      </c>
      <c r="C24" s="10">
        <f t="shared" si="12"/>
        <v>4266</v>
      </c>
      <c r="D24" s="10">
        <f t="shared" si="1"/>
        <v>3875</v>
      </c>
      <c r="E24" s="10">
        <f t="shared" si="2"/>
        <v>2908</v>
      </c>
      <c r="F24" s="10">
        <f t="shared" si="3"/>
        <v>2447</v>
      </c>
      <c r="G24">
        <f t="shared" si="4"/>
        <v>3.6858240000000007</v>
      </c>
      <c r="H24">
        <f t="shared" si="5"/>
        <v>3.3479999999999999</v>
      </c>
      <c r="I24">
        <f t="shared" si="6"/>
        <v>2.5125120000000001</v>
      </c>
      <c r="J24">
        <f t="shared" si="7"/>
        <v>2.1142080000000001</v>
      </c>
      <c r="Q24">
        <v>1200</v>
      </c>
      <c r="R24">
        <f t="shared" si="8"/>
        <v>2611.8367346938776</v>
      </c>
      <c r="S24">
        <f t="shared" si="9"/>
        <v>2372.4489795918366</v>
      </c>
      <c r="T24">
        <f t="shared" si="10"/>
        <v>1780.408163265306</v>
      </c>
      <c r="U24">
        <f t="shared" si="11"/>
        <v>1498.1632653061224</v>
      </c>
    </row>
    <row r="25" spans="1:21" ht="15" thickBot="1">
      <c r="A25" s="5">
        <v>44377.333333333336</v>
      </c>
      <c r="B25" s="6">
        <v>1940</v>
      </c>
      <c r="C25" s="7">
        <f t="shared" si="12"/>
        <v>4222.4693877551017</v>
      </c>
      <c r="D25" s="7">
        <f t="shared" si="1"/>
        <v>3835.4591836734689</v>
      </c>
      <c r="E25" s="7">
        <f t="shared" si="2"/>
        <v>2878.3265306122448</v>
      </c>
      <c r="F25" s="7">
        <f t="shared" si="3"/>
        <v>2422.0306122448978</v>
      </c>
      <c r="G25">
        <f t="shared" si="4"/>
        <v>3.6482135510204081</v>
      </c>
      <c r="H25">
        <f t="shared" si="5"/>
        <v>3.3138367346938771</v>
      </c>
      <c r="I25">
        <f t="shared" si="6"/>
        <v>2.4868741224489797</v>
      </c>
      <c r="J25">
        <f t="shared" si="7"/>
        <v>2.0926344489795921</v>
      </c>
      <c r="Q25">
        <v>1140</v>
      </c>
      <c r="R25">
        <f t="shared" si="8"/>
        <v>2481.2448979591836</v>
      </c>
      <c r="S25">
        <f t="shared" si="9"/>
        <v>2253.8265306122448</v>
      </c>
      <c r="T25">
        <f t="shared" si="10"/>
        <v>1691.3877551020407</v>
      </c>
      <c r="U25">
        <f t="shared" si="11"/>
        <v>1423.2551020408162</v>
      </c>
    </row>
    <row r="26" spans="1:21" ht="15" thickBot="1">
      <c r="A26" s="5">
        <v>44378.333333333336</v>
      </c>
      <c r="B26" s="6">
        <v>1820</v>
      </c>
      <c r="C26" s="7">
        <f t="shared" si="12"/>
        <v>3961.2857142857142</v>
      </c>
      <c r="D26" s="7">
        <f t="shared" si="1"/>
        <v>3598.2142857142853</v>
      </c>
      <c r="E26" s="7">
        <f t="shared" si="2"/>
        <v>2700.2857142857142</v>
      </c>
      <c r="F26" s="7">
        <f t="shared" si="3"/>
        <v>2272.2142857142858</v>
      </c>
      <c r="G26">
        <f t="shared" si="4"/>
        <v>3.4225508571428573</v>
      </c>
      <c r="H26">
        <f t="shared" si="5"/>
        <v>3.1088571428571425</v>
      </c>
      <c r="I26">
        <f t="shared" si="6"/>
        <v>2.3330468571428575</v>
      </c>
      <c r="J26">
        <f t="shared" si="7"/>
        <v>1.9631931428571432</v>
      </c>
      <c r="Q26">
        <v>1050</v>
      </c>
      <c r="R26">
        <f t="shared" si="8"/>
        <v>2285.3571428571427</v>
      </c>
      <c r="S26">
        <f t="shared" si="9"/>
        <v>2075.8928571428569</v>
      </c>
      <c r="T26">
        <f t="shared" si="10"/>
        <v>1557.8571428571427</v>
      </c>
      <c r="U26">
        <f t="shared" si="11"/>
        <v>1310.8928571428569</v>
      </c>
    </row>
    <row r="27" spans="1:21" ht="15" thickBot="1">
      <c r="A27" s="5">
        <v>44379.333333333336</v>
      </c>
      <c r="B27" s="6">
        <v>1850</v>
      </c>
      <c r="C27" s="7">
        <f t="shared" si="12"/>
        <v>4026.5816326530612</v>
      </c>
      <c r="D27" s="7">
        <f t="shared" si="1"/>
        <v>3657.5255102040815</v>
      </c>
      <c r="E27" s="7">
        <f t="shared" si="2"/>
        <v>2744.795918367347</v>
      </c>
      <c r="F27" s="7">
        <f t="shared" si="3"/>
        <v>2309.6683673469388</v>
      </c>
      <c r="G27">
        <f t="shared" si="4"/>
        <v>3.478966530612245</v>
      </c>
      <c r="H27">
        <f t="shared" si="5"/>
        <v>3.1601020408163265</v>
      </c>
      <c r="I27">
        <f t="shared" si="6"/>
        <v>2.371503673469388</v>
      </c>
      <c r="J27">
        <f t="shared" si="7"/>
        <v>1.995553469387755</v>
      </c>
      <c r="Q27">
        <v>1010</v>
      </c>
      <c r="R27">
        <f t="shared" si="8"/>
        <v>2198.295918367347</v>
      </c>
      <c r="S27">
        <f t="shared" si="9"/>
        <v>1996.8112244897959</v>
      </c>
      <c r="T27">
        <f t="shared" si="10"/>
        <v>1498.5102040816328</v>
      </c>
      <c r="U27">
        <f t="shared" si="11"/>
        <v>1260.9540816326532</v>
      </c>
    </row>
    <row r="28" spans="1:21" ht="15" thickBot="1">
      <c r="A28" s="5">
        <v>44379.435416666667</v>
      </c>
      <c r="B28" s="6">
        <v>1810</v>
      </c>
      <c r="C28" s="7">
        <f t="shared" si="12"/>
        <v>3939.5204081632655</v>
      </c>
      <c r="D28" s="7">
        <f t="shared" si="1"/>
        <v>3578.4438775510203</v>
      </c>
      <c r="E28" s="7">
        <f t="shared" si="2"/>
        <v>2685.4489795918366</v>
      </c>
      <c r="F28" s="7">
        <f t="shared" si="3"/>
        <v>2259.7295918367345</v>
      </c>
      <c r="G28">
        <f t="shared" si="4"/>
        <v>3.4037456326530613</v>
      </c>
      <c r="H28">
        <f t="shared" si="5"/>
        <v>3.0917755102040818</v>
      </c>
      <c r="I28">
        <f t="shared" si="6"/>
        <v>2.3202279183673467</v>
      </c>
      <c r="J28">
        <f t="shared" si="7"/>
        <v>1.9524063673469387</v>
      </c>
    </row>
    <row r="29" spans="1:21" ht="15" thickBot="1">
      <c r="A29" s="11">
        <v>44380.333333333336</v>
      </c>
      <c r="B29" s="12">
        <v>1850</v>
      </c>
      <c r="C29" s="13">
        <f t="shared" si="12"/>
        <v>4026.5816326530612</v>
      </c>
      <c r="D29" s="13">
        <f t="shared" si="1"/>
        <v>3657.5255102040815</v>
      </c>
      <c r="E29" s="13">
        <f t="shared" si="2"/>
        <v>2744.795918367347</v>
      </c>
      <c r="F29" s="13">
        <f t="shared" si="3"/>
        <v>2309.6683673469388</v>
      </c>
      <c r="G29">
        <f t="shared" si="4"/>
        <v>3.478966530612245</v>
      </c>
      <c r="H29">
        <f t="shared" si="5"/>
        <v>3.1601020408163265</v>
      </c>
      <c r="I29">
        <f t="shared" si="6"/>
        <v>2.371503673469388</v>
      </c>
      <c r="J29">
        <f t="shared" si="7"/>
        <v>1.995553469387755</v>
      </c>
    </row>
    <row r="30" spans="1:21" ht="15" thickBot="1">
      <c r="A30" s="11">
        <v>44381.333333333336</v>
      </c>
      <c r="B30" s="12">
        <v>1760</v>
      </c>
      <c r="C30" s="13">
        <f t="shared" si="12"/>
        <v>3830.6938775510203</v>
      </c>
      <c r="D30" s="13">
        <f t="shared" si="1"/>
        <v>3479.5918367346935</v>
      </c>
      <c r="E30" s="13">
        <f t="shared" si="2"/>
        <v>2611.2653061224487</v>
      </c>
      <c r="F30" s="13">
        <f t="shared" si="3"/>
        <v>2197.3061224489793</v>
      </c>
      <c r="G30">
        <f t="shared" si="4"/>
        <v>3.3097195102040815</v>
      </c>
      <c r="H30">
        <f t="shared" si="5"/>
        <v>3.0063673469387755</v>
      </c>
      <c r="I30">
        <f t="shared" si="6"/>
        <v>2.2561332244897958</v>
      </c>
      <c r="J30">
        <f t="shared" si="7"/>
        <v>1.8984724897959182</v>
      </c>
    </row>
    <row r="31" spans="1:21" ht="15" thickBot="1">
      <c r="A31" s="11">
        <v>44382.333333333336</v>
      </c>
      <c r="B31" s="12">
        <v>1640</v>
      </c>
      <c r="C31" s="13">
        <f t="shared" si="12"/>
        <v>3569.5102040816328</v>
      </c>
      <c r="D31" s="13">
        <f t="shared" si="1"/>
        <v>3242.3469387755104</v>
      </c>
      <c r="E31" s="13">
        <f t="shared" si="2"/>
        <v>2433.2244897959185</v>
      </c>
      <c r="F31" s="13">
        <f t="shared" si="3"/>
        <v>2047.4897959183675</v>
      </c>
      <c r="G31">
        <f t="shared" si="4"/>
        <v>3.0840568163265312</v>
      </c>
      <c r="H31">
        <f t="shared" si="5"/>
        <v>2.801387755102041</v>
      </c>
      <c r="I31">
        <f t="shared" si="6"/>
        <v>2.1023059591836737</v>
      </c>
      <c r="J31">
        <f t="shared" si="7"/>
        <v>1.7690311836734698</v>
      </c>
    </row>
    <row r="32" spans="1:21" ht="15" thickBot="1">
      <c r="A32" s="14">
        <v>44382.683333333334</v>
      </c>
      <c r="B32" s="15">
        <v>1590</v>
      </c>
      <c r="C32" s="16">
        <f t="shared" si="12"/>
        <v>3460.6836734693879</v>
      </c>
      <c r="D32" s="16">
        <f t="shared" si="1"/>
        <v>3143.4948979591836</v>
      </c>
      <c r="E32" s="16">
        <f t="shared" si="2"/>
        <v>2359.0408163265306</v>
      </c>
      <c r="F32" s="16">
        <f t="shared" si="3"/>
        <v>1985.0663265306123</v>
      </c>
      <c r="G32">
        <f t="shared" si="4"/>
        <v>2.9900306938775514</v>
      </c>
      <c r="H32">
        <f t="shared" si="5"/>
        <v>2.7159795918367347</v>
      </c>
      <c r="I32">
        <f t="shared" si="6"/>
        <v>2.0382112653061228</v>
      </c>
      <c r="J32">
        <f t="shared" si="7"/>
        <v>1.7150973061224493</v>
      </c>
    </row>
    <row r="33" spans="1:10" ht="15" thickBot="1">
      <c r="A33" s="14">
        <v>44383.333333333336</v>
      </c>
      <c r="B33" s="15">
        <v>1550</v>
      </c>
      <c r="C33" s="16">
        <f t="shared" si="12"/>
        <v>3373.6224489795918</v>
      </c>
      <c r="D33" s="16">
        <f t="shared" si="1"/>
        <v>3064.4132653061224</v>
      </c>
      <c r="E33" s="16">
        <f t="shared" si="2"/>
        <v>2299.6938775510203</v>
      </c>
      <c r="F33" s="16">
        <f t="shared" si="3"/>
        <v>1935.127551020408</v>
      </c>
      <c r="G33">
        <f t="shared" si="4"/>
        <v>2.9148097959183676</v>
      </c>
      <c r="H33">
        <f t="shared" si="5"/>
        <v>2.64765306122449</v>
      </c>
      <c r="I33">
        <f t="shared" si="6"/>
        <v>1.9869355102040815</v>
      </c>
      <c r="J33">
        <f t="shared" si="7"/>
        <v>1.6719502040816325</v>
      </c>
    </row>
    <row r="34" spans="1:10" ht="15" thickBot="1">
      <c r="A34" s="14">
        <v>44384.333333333336</v>
      </c>
      <c r="B34" s="15">
        <v>1430</v>
      </c>
      <c r="C34" s="16">
        <f t="shared" si="12"/>
        <v>3112.4387755102039</v>
      </c>
      <c r="D34" s="16">
        <f t="shared" si="1"/>
        <v>2827.1683673469383</v>
      </c>
      <c r="E34" s="16">
        <f t="shared" si="2"/>
        <v>2121.6530612244896</v>
      </c>
      <c r="F34" s="16">
        <f t="shared" si="3"/>
        <v>1785.3112244897957</v>
      </c>
      <c r="G34">
        <f t="shared" si="4"/>
        <v>2.6891471020408164</v>
      </c>
      <c r="H34">
        <f t="shared" si="5"/>
        <v>2.442673469387755</v>
      </c>
      <c r="I34">
        <f t="shared" si="6"/>
        <v>1.8331082448979592</v>
      </c>
      <c r="J34">
        <f t="shared" si="7"/>
        <v>1.5425088979591837</v>
      </c>
    </row>
    <row r="35" spans="1:10" ht="15" thickBot="1">
      <c r="A35" s="14">
        <v>44385.333333333336</v>
      </c>
      <c r="B35" s="15">
        <v>1330</v>
      </c>
      <c r="C35" s="16">
        <f t="shared" si="12"/>
        <v>2894.7857142857142</v>
      </c>
      <c r="D35" s="16">
        <f t="shared" si="1"/>
        <v>2629.4642857142853</v>
      </c>
      <c r="E35" s="16">
        <f t="shared" si="2"/>
        <v>1973.285714285714</v>
      </c>
      <c r="F35" s="16">
        <f t="shared" si="3"/>
        <v>1660.4642857142853</v>
      </c>
      <c r="G35">
        <f t="shared" si="4"/>
        <v>2.5010948571428573</v>
      </c>
      <c r="H35">
        <f t="shared" si="5"/>
        <v>2.2718571428571428</v>
      </c>
      <c r="I35">
        <f t="shared" si="6"/>
        <v>1.7049188571428571</v>
      </c>
      <c r="J35">
        <f t="shared" si="7"/>
        <v>1.4346411428571426</v>
      </c>
    </row>
    <row r="36" spans="1:10" ht="15" thickBot="1">
      <c r="A36" s="14">
        <v>44385.372916666667</v>
      </c>
      <c r="B36" s="15">
        <v>1320</v>
      </c>
      <c r="C36" s="16">
        <f t="shared" si="12"/>
        <v>2873.0204081632655</v>
      </c>
      <c r="D36" s="16">
        <f t="shared" si="1"/>
        <v>2609.6938775510207</v>
      </c>
      <c r="E36" s="16">
        <f t="shared" si="2"/>
        <v>1958.4489795918371</v>
      </c>
      <c r="F36" s="16">
        <f t="shared" si="3"/>
        <v>1647.9795918367349</v>
      </c>
      <c r="G36">
        <f t="shared" si="4"/>
        <v>2.4822896326530617</v>
      </c>
      <c r="H36">
        <f t="shared" si="5"/>
        <v>2.2547755102040821</v>
      </c>
      <c r="I36">
        <f t="shared" si="6"/>
        <v>1.6920999183673473</v>
      </c>
      <c r="J36">
        <f t="shared" si="7"/>
        <v>1.423854367346939</v>
      </c>
    </row>
    <row r="37" spans="1:10" ht="15" thickBot="1">
      <c r="A37" s="2">
        <v>44386.333333333336</v>
      </c>
      <c r="B37" s="3">
        <v>1250</v>
      </c>
      <c r="C37">
        <f t="shared" si="12"/>
        <v>2720.6632653061224</v>
      </c>
      <c r="D37">
        <f t="shared" si="1"/>
        <v>2471.3010204081629</v>
      </c>
      <c r="E37">
        <f t="shared" si="2"/>
        <v>1854.5918367346937</v>
      </c>
      <c r="F37">
        <f t="shared" si="3"/>
        <v>1560.5867346938774</v>
      </c>
      <c r="G37">
        <f t="shared" si="4"/>
        <v>2.3506530612244898</v>
      </c>
      <c r="H37">
        <f t="shared" si="5"/>
        <v>2.135204081632653</v>
      </c>
      <c r="I37">
        <f t="shared" si="6"/>
        <v>1.6023673469387756</v>
      </c>
      <c r="J37">
        <f t="shared" si="7"/>
        <v>1.3483469387755103</v>
      </c>
    </row>
    <row r="38" spans="1:10" ht="15" thickBot="1">
      <c r="A38" s="2">
        <v>44387.333333333336</v>
      </c>
      <c r="B38" s="3">
        <v>1200</v>
      </c>
      <c r="C38">
        <f t="shared" si="12"/>
        <v>2611.8367346938776</v>
      </c>
      <c r="D38">
        <f t="shared" si="1"/>
        <v>2372.4489795918366</v>
      </c>
      <c r="E38">
        <f t="shared" si="2"/>
        <v>1780.408163265306</v>
      </c>
      <c r="F38">
        <f t="shared" si="3"/>
        <v>1498.1632653061224</v>
      </c>
      <c r="G38">
        <f t="shared" si="4"/>
        <v>2.2566269387755105</v>
      </c>
      <c r="H38">
        <f t="shared" si="5"/>
        <v>2.0497959183673471</v>
      </c>
      <c r="I38">
        <f t="shared" si="6"/>
        <v>1.5382726530612245</v>
      </c>
      <c r="J38">
        <f t="shared" si="7"/>
        <v>1.29441306122449</v>
      </c>
    </row>
    <row r="39" spans="1:10" ht="15" thickBot="1">
      <c r="A39" s="2">
        <v>44388.333333333336</v>
      </c>
      <c r="B39" s="3">
        <v>1170</v>
      </c>
      <c r="C39">
        <f t="shared" si="12"/>
        <v>2546.5408163265306</v>
      </c>
      <c r="D39">
        <f t="shared" si="1"/>
        <v>2313.1377551020405</v>
      </c>
      <c r="E39">
        <f t="shared" si="2"/>
        <v>1735.8979591836733</v>
      </c>
      <c r="F39">
        <f t="shared" si="3"/>
        <v>1460.7091836734692</v>
      </c>
      <c r="G39">
        <f t="shared" si="4"/>
        <v>2.2002112653061228</v>
      </c>
      <c r="H39">
        <f t="shared" si="5"/>
        <v>1.9985510204081631</v>
      </c>
      <c r="I39">
        <f t="shared" si="6"/>
        <v>1.4998158367346939</v>
      </c>
      <c r="J39">
        <f t="shared" si="7"/>
        <v>1.2620527346938775</v>
      </c>
    </row>
    <row r="40" spans="1:10" ht="15" thickBot="1">
      <c r="A40" s="2">
        <v>44389.333333333336</v>
      </c>
      <c r="B40" s="3">
        <v>1060</v>
      </c>
      <c r="C40">
        <f t="shared" si="12"/>
        <v>2307.1224489795918</v>
      </c>
      <c r="D40">
        <f t="shared" si="1"/>
        <v>2095.6632653061224</v>
      </c>
      <c r="E40">
        <f t="shared" si="2"/>
        <v>1572.6938775510205</v>
      </c>
      <c r="F40">
        <f t="shared" si="3"/>
        <v>1323.3775510204082</v>
      </c>
      <c r="G40">
        <f t="shared" si="4"/>
        <v>1.9933537959183676</v>
      </c>
      <c r="H40">
        <f t="shared" si="5"/>
        <v>1.81065306122449</v>
      </c>
      <c r="I40">
        <f t="shared" si="6"/>
        <v>1.3588075102040817</v>
      </c>
      <c r="J40">
        <f t="shared" si="7"/>
        <v>1.1433982040816326</v>
      </c>
    </row>
    <row r="41" spans="1:10" ht="15" thickBot="1">
      <c r="A41" s="2">
        <v>44390.333333333336</v>
      </c>
      <c r="B41" s="3">
        <v>1020</v>
      </c>
      <c r="C41">
        <f t="shared" si="12"/>
        <v>2220.0612244897961</v>
      </c>
      <c r="D41">
        <f t="shared" si="1"/>
        <v>2016.5816326530614</v>
      </c>
      <c r="E41">
        <f t="shared" si="2"/>
        <v>1513.3469387755104</v>
      </c>
      <c r="F41">
        <f t="shared" si="3"/>
        <v>1273.4387755102041</v>
      </c>
      <c r="G41">
        <f t="shared" si="4"/>
        <v>1.9181328979591838</v>
      </c>
      <c r="H41">
        <f t="shared" si="5"/>
        <v>1.7423265306122453</v>
      </c>
      <c r="I41">
        <f t="shared" si="6"/>
        <v>1.3075317551020411</v>
      </c>
      <c r="J41">
        <f t="shared" si="7"/>
        <v>1.1002511020408166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2025-05-13T07:31:06Z</dcterms:modified>
</cp:coreProperties>
</file>