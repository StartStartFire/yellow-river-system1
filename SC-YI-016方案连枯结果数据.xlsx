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F:\Model\Temp\黄河上游水库群联合调度情景库（多年连丰、连枯情景结果）\"/>
    </mc:Choice>
  </mc:AlternateContent>
  <xr:revisionPtr revIDLastSave="0" documentId="13_ncr:1_{D5FF9548-F197-4642-8D71-E9346B24DBA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1975-1976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7" i="9" l="1"/>
  <c r="M27" i="9"/>
  <c r="N26" i="9"/>
  <c r="M26" i="9"/>
  <c r="H26" i="9"/>
  <c r="G26" i="9"/>
  <c r="R25" i="9"/>
  <c r="R24" i="9"/>
  <c r="R23" i="9"/>
  <c r="S22" i="9"/>
  <c r="R22" i="9"/>
  <c r="R21" i="9"/>
  <c r="R20" i="9"/>
  <c r="R19" i="9"/>
  <c r="R18" i="9"/>
  <c r="R17" i="9"/>
  <c r="R16" i="9"/>
  <c r="R15" i="9"/>
  <c r="Q15" i="9"/>
  <c r="R14" i="9"/>
  <c r="Q14" i="9"/>
  <c r="R13" i="9"/>
  <c r="R12" i="9"/>
  <c r="R11" i="9"/>
  <c r="S10" i="9"/>
  <c r="R10" i="9"/>
  <c r="R9" i="9"/>
  <c r="R8" i="9"/>
  <c r="R7" i="9"/>
  <c r="R6" i="9"/>
  <c r="R5" i="9"/>
  <c r="R4" i="9"/>
  <c r="R3" i="9"/>
  <c r="Q3" i="9"/>
  <c r="R2" i="9"/>
  <c r="Q2" i="9"/>
</calcChain>
</file>

<file path=xl/sharedStrings.xml><?xml version="1.0" encoding="utf-8"?>
<sst xmlns="http://schemas.openxmlformats.org/spreadsheetml/2006/main" count="17" uniqueCount="17">
  <si>
    <t>年</t>
  </si>
  <si>
    <t>月</t>
  </si>
  <si>
    <t>龙出(m3/s)</t>
  </si>
  <si>
    <t>龙末水位(m)</t>
  </si>
  <si>
    <t>龙出力(MW)</t>
  </si>
  <si>
    <t>龙发电量(kWh)</t>
  </si>
  <si>
    <t>龙弃水(m3/s)</t>
  </si>
  <si>
    <t>刘入(m3/s)</t>
  </si>
  <si>
    <t>刘出(m3/s)</t>
  </si>
  <si>
    <t>刘末水位(m)</t>
  </si>
  <si>
    <t>刘出力(MW)</t>
  </si>
  <si>
    <t>刘发电量(kWh)</t>
  </si>
  <si>
    <t>刘弃水(m3/s)</t>
  </si>
  <si>
    <t>兰流量(m3/s)</t>
  </si>
  <si>
    <t>兰缺水(亿m3)</t>
  </si>
  <si>
    <t>输沙偏离度(%)</t>
  </si>
  <si>
    <t>龙入(m3/s)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</si>
</sst>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04564259976"/>
          <c:y val="9.1282298961603503E-2"/>
          <c:w val="0.86512745228880295"/>
          <c:h val="0.76005795701521395"/>
        </c:manualLayout>
      </c:layout>
      <c:lineChart>
        <c:grouping val="standard"/>
        <c:varyColors val="0"/>
        <c:ser>
          <c:idx val="0"/>
          <c:order val="0"/>
          <c:tx>
            <c:v>龙羊峡水位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'1975-1976'!$A$2:$A$25</c:f>
              <c:numCache>
                <c:formatCode>General</c:formatCode>
                <c:ptCount val="24"/>
                <c:pt idx="0">
                  <c:v>1975</c:v>
                </c:pt>
                <c:pt idx="12">
                  <c:v>1976</c:v>
                </c:pt>
              </c:numCache>
            </c:numRef>
          </c:cat>
          <c:val>
            <c:numRef>
              <c:f>'1975-1976'!$E$2:$E$25</c:f>
              <c:numCache>
                <c:formatCode>General</c:formatCode>
                <c:ptCount val="24"/>
                <c:pt idx="0">
                  <c:v>2574.93713259582</c:v>
                </c:pt>
                <c:pt idx="1">
                  <c:v>2579.8836834703702</c:v>
                </c:pt>
                <c:pt idx="2">
                  <c:v>2583.9103688533</c:v>
                </c:pt>
                <c:pt idx="3">
                  <c:v>2592.2226964414899</c:v>
                </c:pt>
                <c:pt idx="4">
                  <c:v>2595.3632270073199</c:v>
                </c:pt>
                <c:pt idx="5">
                  <c:v>2592.1614310998998</c:v>
                </c:pt>
                <c:pt idx="6">
                  <c:v>2591.5964340770802</c:v>
                </c:pt>
                <c:pt idx="7">
                  <c:v>2588.6500039010998</c:v>
                </c:pt>
                <c:pt idx="8">
                  <c:v>2584.9805252296301</c:v>
                </c:pt>
                <c:pt idx="9">
                  <c:v>2582.2640178290198</c:v>
                </c:pt>
                <c:pt idx="10">
                  <c:v>2580.4836725720302</c:v>
                </c:pt>
                <c:pt idx="11">
                  <c:v>2580.0584052500599</c:v>
                </c:pt>
                <c:pt idx="12">
                  <c:v>2582.7730561655799</c:v>
                </c:pt>
                <c:pt idx="13">
                  <c:v>2587.9899576049002</c:v>
                </c:pt>
                <c:pt idx="14">
                  <c:v>2593.1154450133999</c:v>
                </c:pt>
                <c:pt idx="15">
                  <c:v>2593.6652253530501</c:v>
                </c:pt>
                <c:pt idx="16">
                  <c:v>2591.8340877781998</c:v>
                </c:pt>
                <c:pt idx="17">
                  <c:v>2588.0666553708002</c:v>
                </c:pt>
                <c:pt idx="18">
                  <c:v>2586.24123780745</c:v>
                </c:pt>
                <c:pt idx="19">
                  <c:v>2582.4304603396299</c:v>
                </c:pt>
                <c:pt idx="20">
                  <c:v>2576.5692021217101</c:v>
                </c:pt>
                <c:pt idx="21">
                  <c:v>2575.3305257933698</c:v>
                </c:pt>
                <c:pt idx="22">
                  <c:v>2574.4743520286302</c:v>
                </c:pt>
                <c:pt idx="23">
                  <c:v>2575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2-4D2D-A6D0-F51FC9600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水位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</a:t>
                </a:r>
                <a:r>
                  <a:rPr lang="en-GB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38302877141421698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55306821174601"/>
          <c:y val="0.120415224913495"/>
          <c:w val="0.87047669212536205"/>
          <c:h val="0.71358708189158004"/>
        </c:manualLayout>
      </c:layout>
      <c:barChart>
        <c:barDir val="col"/>
        <c:grouping val="clustered"/>
        <c:varyColors val="0"/>
        <c:ser>
          <c:idx val="0"/>
          <c:order val="0"/>
          <c:tx>
            <c:v>龙羊峡入库流量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'1975-1976'!$A$2:$A$25</c:f>
              <c:numCache>
                <c:formatCode>General</c:formatCode>
                <c:ptCount val="24"/>
                <c:pt idx="0">
                  <c:v>1975</c:v>
                </c:pt>
                <c:pt idx="12">
                  <c:v>1976</c:v>
                </c:pt>
              </c:numCache>
            </c:numRef>
          </c:cat>
          <c:val>
            <c:numRef>
              <c:f>'1975-1976'!$C$2:$C$25</c:f>
              <c:numCache>
                <c:formatCode>General</c:formatCode>
                <c:ptCount val="24"/>
                <c:pt idx="0">
                  <c:v>2310</c:v>
                </c:pt>
                <c:pt idx="1">
                  <c:v>1840</c:v>
                </c:pt>
                <c:pt idx="2">
                  <c:v>1690</c:v>
                </c:pt>
                <c:pt idx="3">
                  <c:v>1970</c:v>
                </c:pt>
                <c:pt idx="4">
                  <c:v>862</c:v>
                </c:pt>
                <c:pt idx="5">
                  <c:v>345</c:v>
                </c:pt>
                <c:pt idx="6">
                  <c:v>249</c:v>
                </c:pt>
                <c:pt idx="7">
                  <c:v>250</c:v>
                </c:pt>
                <c:pt idx="8">
                  <c:v>318</c:v>
                </c:pt>
                <c:pt idx="9">
                  <c:v>449</c:v>
                </c:pt>
                <c:pt idx="10">
                  <c:v>661</c:v>
                </c:pt>
                <c:pt idx="11">
                  <c:v>1140</c:v>
                </c:pt>
                <c:pt idx="12">
                  <c:v>1500</c:v>
                </c:pt>
                <c:pt idx="13">
                  <c:v>1940</c:v>
                </c:pt>
                <c:pt idx="14">
                  <c:v>1880</c:v>
                </c:pt>
                <c:pt idx="15">
                  <c:v>995</c:v>
                </c:pt>
                <c:pt idx="16">
                  <c:v>512</c:v>
                </c:pt>
                <c:pt idx="17">
                  <c:v>263</c:v>
                </c:pt>
                <c:pt idx="18">
                  <c:v>199</c:v>
                </c:pt>
                <c:pt idx="19">
                  <c:v>186</c:v>
                </c:pt>
                <c:pt idx="20">
                  <c:v>279</c:v>
                </c:pt>
                <c:pt idx="21">
                  <c:v>643</c:v>
                </c:pt>
                <c:pt idx="22">
                  <c:v>854</c:v>
                </c:pt>
                <c:pt idx="23">
                  <c:v>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B-4FA9-BE5F-FB005B2E2ECB}"/>
            </c:ext>
          </c:extLst>
        </c:ser>
        <c:ser>
          <c:idx val="1"/>
          <c:order val="1"/>
          <c:tx>
            <c:v>龙羊峡出库流量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'1975-1976'!$A$2:$A$25</c:f>
              <c:numCache>
                <c:formatCode>General</c:formatCode>
                <c:ptCount val="24"/>
                <c:pt idx="0">
                  <c:v>1975</c:v>
                </c:pt>
                <c:pt idx="12">
                  <c:v>1976</c:v>
                </c:pt>
              </c:numCache>
            </c:numRef>
          </c:cat>
          <c:val>
            <c:numRef>
              <c:f>'1975-1976'!$D$2:$D$25</c:f>
              <c:numCache>
                <c:formatCode>General</c:formatCode>
                <c:ptCount val="24"/>
                <c:pt idx="0">
                  <c:v>2317.2763199276401</c:v>
                </c:pt>
                <c:pt idx="1">
                  <c:v>1238.91678792519</c:v>
                </c:pt>
                <c:pt idx="2">
                  <c:v>1151.3515745648201</c:v>
                </c:pt>
                <c:pt idx="3">
                  <c:v>809.06456170028196</c:v>
                </c:pt>
                <c:pt idx="4">
                  <c:v>381.59404848213001</c:v>
                </c:pt>
                <c:pt idx="5">
                  <c:v>818.770529035099</c:v>
                </c:pt>
                <c:pt idx="6">
                  <c:v>331.03947427537702</c:v>
                </c:pt>
                <c:pt idx="7">
                  <c:v>732.94230437420504</c:v>
                </c:pt>
                <c:pt idx="8">
                  <c:v>823.90367374248603</c:v>
                </c:pt>
                <c:pt idx="9">
                  <c:v>821.52424479595197</c:v>
                </c:pt>
                <c:pt idx="10">
                  <c:v>889.478780491061</c:v>
                </c:pt>
                <c:pt idx="11">
                  <c:v>1195.7835221709699</c:v>
                </c:pt>
                <c:pt idx="12">
                  <c:v>1151.0185659599799</c:v>
                </c:pt>
                <c:pt idx="13">
                  <c:v>1232.6320818742099</c:v>
                </c:pt>
                <c:pt idx="14">
                  <c:v>1120.7430109960301</c:v>
                </c:pt>
                <c:pt idx="15">
                  <c:v>913.88445253570001</c:v>
                </c:pt>
                <c:pt idx="16">
                  <c:v>789.19310647043596</c:v>
                </c:pt>
                <c:pt idx="17">
                  <c:v>799.99629201032803</c:v>
                </c:pt>
                <c:pt idx="18">
                  <c:v>451.54050867638398</c:v>
                </c:pt>
                <c:pt idx="19">
                  <c:v>771.81827412853795</c:v>
                </c:pt>
                <c:pt idx="20">
                  <c:v>1012.20804163201</c:v>
                </c:pt>
                <c:pt idx="21">
                  <c:v>795.53615131960396</c:v>
                </c:pt>
                <c:pt idx="22">
                  <c:v>954.58761464636098</c:v>
                </c:pt>
                <c:pt idx="23">
                  <c:v>903.36154663438197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AB-4FA9-BE5F-FB005B2E2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44846786"/>
        <c:axId val="341771770"/>
      </c:barChart>
      <c:catAx>
        <c:axId val="2448467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34177177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34177177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(</a:t>
                </a:r>
                <a:r>
                  <a:rPr lang="en-GB" altLang="zh-CN">
                    <a:solidFill>
                      <a:sysClr val="windowText" lastClr="000000"/>
                    </a:solidFill>
                  </a:rPr>
                  <a:t>m</a:t>
                </a:r>
                <a:r>
                  <a:rPr lang="en-GB" altLang="zh-CN" baseline="30000">
                    <a:solidFill>
                      <a:sysClr val="windowText" lastClr="000000"/>
                    </a:solidFill>
                    <a:uFillTx/>
                  </a:rPr>
                  <a:t>3</a:t>
                </a:r>
                <a:r>
                  <a:rPr lang="en-GB" altLang="zh-CN">
                    <a:solidFill>
                      <a:sysClr val="windowText" lastClr="000000"/>
                    </a:solidFill>
                  </a:rPr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2448467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</c:legendEntry>
      <c:layout>
        <c:manualLayout>
          <c:xMode val="edge"/>
          <c:yMode val="edge"/>
          <c:x val="0.30039473684210499"/>
          <c:y val="6.9444444444444397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1a0ffc-ec43-4bf4-a7eb-f8a5e44851c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55306821174601"/>
          <c:y val="0.120415224913495"/>
          <c:w val="0.87047669212536205"/>
          <c:h val="0.71358708189158004"/>
        </c:manualLayout>
      </c:layout>
      <c:barChart>
        <c:barDir val="col"/>
        <c:grouping val="clustered"/>
        <c:varyColors val="0"/>
        <c:ser>
          <c:idx val="0"/>
          <c:order val="0"/>
          <c:tx>
            <c:v>刘家峡入库流量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'1975-1976'!$A$2:$A$25</c:f>
              <c:numCache>
                <c:formatCode>General</c:formatCode>
                <c:ptCount val="24"/>
                <c:pt idx="0">
                  <c:v>1975</c:v>
                </c:pt>
                <c:pt idx="12">
                  <c:v>1976</c:v>
                </c:pt>
              </c:numCache>
            </c:numRef>
          </c:cat>
          <c:val>
            <c:numRef>
              <c:f>'1975-1976'!$I$2:$I$25</c:f>
              <c:numCache>
                <c:formatCode>General</c:formatCode>
                <c:ptCount val="24"/>
                <c:pt idx="0">
                  <c:v>2566.2763199276401</c:v>
                </c:pt>
                <c:pt idx="1">
                  <c:v>1531.91678792519</c:v>
                </c:pt>
                <c:pt idx="2">
                  <c:v>1574.3515745648201</c:v>
                </c:pt>
                <c:pt idx="3">
                  <c:v>1280.0645617002799</c:v>
                </c:pt>
                <c:pt idx="4">
                  <c:v>600.59404848213001</c:v>
                </c:pt>
                <c:pt idx="5">
                  <c:v>910.770529035099</c:v>
                </c:pt>
                <c:pt idx="6">
                  <c:v>394.03947427537702</c:v>
                </c:pt>
                <c:pt idx="7">
                  <c:v>797.94230437420504</c:v>
                </c:pt>
                <c:pt idx="8">
                  <c:v>888.90367374248603</c:v>
                </c:pt>
                <c:pt idx="9">
                  <c:v>955.52424479595197</c:v>
                </c:pt>
                <c:pt idx="10">
                  <c:v>1039.47878049106</c:v>
                </c:pt>
                <c:pt idx="11">
                  <c:v>1519.7835221709699</c:v>
                </c:pt>
                <c:pt idx="12">
                  <c:v>1439.0185659599799</c:v>
                </c:pt>
                <c:pt idx="13">
                  <c:v>2057.6320818742101</c:v>
                </c:pt>
                <c:pt idx="14">
                  <c:v>1717.7430109960301</c:v>
                </c:pt>
                <c:pt idx="15">
                  <c:v>1189.8844525356999</c:v>
                </c:pt>
                <c:pt idx="16">
                  <c:v>930.19310647043596</c:v>
                </c:pt>
                <c:pt idx="17">
                  <c:v>891.99629201032803</c:v>
                </c:pt>
                <c:pt idx="18">
                  <c:v>519.54050867638398</c:v>
                </c:pt>
                <c:pt idx="19">
                  <c:v>839.81827412853795</c:v>
                </c:pt>
                <c:pt idx="20">
                  <c:v>1080.20804163201</c:v>
                </c:pt>
                <c:pt idx="21">
                  <c:v>942.53615131960396</c:v>
                </c:pt>
                <c:pt idx="22">
                  <c:v>1221.58761464636</c:v>
                </c:pt>
                <c:pt idx="23">
                  <c:v>1101.3615466343799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8-4BB4-AA45-CF660A95CC0E}"/>
            </c:ext>
          </c:extLst>
        </c:ser>
        <c:ser>
          <c:idx val="1"/>
          <c:order val="1"/>
          <c:tx>
            <c:v>刘家峡出库流量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'1975-1976'!$A$2:$A$25</c:f>
              <c:numCache>
                <c:formatCode>General</c:formatCode>
                <c:ptCount val="24"/>
                <c:pt idx="0">
                  <c:v>1975</c:v>
                </c:pt>
                <c:pt idx="12">
                  <c:v>1976</c:v>
                </c:pt>
              </c:numCache>
            </c:numRef>
          </c:cat>
          <c:val>
            <c:numRef>
              <c:f>'1975-1976'!$J$2:$J$25</c:f>
              <c:numCache>
                <c:formatCode>General</c:formatCode>
                <c:ptCount val="24"/>
                <c:pt idx="0">
                  <c:v>2265.96</c:v>
                </c:pt>
                <c:pt idx="1">
                  <c:v>2118.73171599444</c:v>
                </c:pt>
                <c:pt idx="2">
                  <c:v>667.6</c:v>
                </c:pt>
                <c:pt idx="3">
                  <c:v>1161.6551940853101</c:v>
                </c:pt>
                <c:pt idx="4">
                  <c:v>701.6</c:v>
                </c:pt>
                <c:pt idx="5">
                  <c:v>1013.44649920062</c:v>
                </c:pt>
                <c:pt idx="6">
                  <c:v>822.89054038791505</c:v>
                </c:pt>
                <c:pt idx="7">
                  <c:v>371.95242733621302</c:v>
                </c:pt>
                <c:pt idx="8">
                  <c:v>814.22255061667101</c:v>
                </c:pt>
                <c:pt idx="9">
                  <c:v>997.57965982707003</c:v>
                </c:pt>
                <c:pt idx="10">
                  <c:v>1195.4299447810899</c:v>
                </c:pt>
                <c:pt idx="11">
                  <c:v>1289.64039760068</c:v>
                </c:pt>
                <c:pt idx="12">
                  <c:v>2085.5198986547598</c:v>
                </c:pt>
                <c:pt idx="13">
                  <c:v>2394.97778948526</c:v>
                </c:pt>
                <c:pt idx="14">
                  <c:v>628.83588836888396</c:v>
                </c:pt>
                <c:pt idx="15">
                  <c:v>1231.90498356433</c:v>
                </c:pt>
                <c:pt idx="16">
                  <c:v>894.85521917933102</c:v>
                </c:pt>
                <c:pt idx="17">
                  <c:v>890.43729769325898</c:v>
                </c:pt>
                <c:pt idx="18">
                  <c:v>526.08215387562598</c:v>
                </c:pt>
                <c:pt idx="19">
                  <c:v>959.38285824816501</c:v>
                </c:pt>
                <c:pt idx="20">
                  <c:v>1133.29451227296</c:v>
                </c:pt>
                <c:pt idx="21">
                  <c:v>1122.1142767009301</c:v>
                </c:pt>
                <c:pt idx="22">
                  <c:v>1298.68287292492</c:v>
                </c:pt>
                <c:pt idx="23">
                  <c:v>1298.9438007173601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8-4BB4-AA45-CF660A95C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44846786"/>
        <c:axId val="341771770"/>
      </c:barChart>
      <c:catAx>
        <c:axId val="2448467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34177177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34177177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(</a:t>
                </a:r>
                <a:r>
                  <a:rPr lang="en-GB" altLang="zh-CN">
                    <a:solidFill>
                      <a:sysClr val="windowText" lastClr="000000"/>
                    </a:solidFill>
                  </a:rPr>
                  <a:t>m</a:t>
                </a:r>
                <a:r>
                  <a:rPr lang="en-GB" altLang="zh-CN" baseline="30000">
                    <a:solidFill>
                      <a:sysClr val="windowText" lastClr="000000"/>
                    </a:solidFill>
                    <a:uFillTx/>
                  </a:rPr>
                  <a:t>3</a:t>
                </a:r>
                <a:r>
                  <a:rPr lang="en-GB" altLang="zh-CN">
                    <a:solidFill>
                      <a:sysClr val="windowText" lastClr="000000"/>
                    </a:solidFill>
                  </a:rPr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2448467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</c:legendEntry>
      <c:layout>
        <c:manualLayout>
          <c:xMode val="edge"/>
          <c:yMode val="edge"/>
          <c:x val="0.30039473684210499"/>
          <c:y val="6.9444444444444397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1a0ffc-ec43-4bf4-a7eb-f8a5e44851c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04564259976"/>
          <c:y val="9.1282298961603503E-2"/>
          <c:w val="0.86512745228880295"/>
          <c:h val="0.76005795701521395"/>
        </c:manualLayout>
      </c:layout>
      <c:lineChart>
        <c:grouping val="standard"/>
        <c:varyColors val="0"/>
        <c:ser>
          <c:idx val="0"/>
          <c:order val="0"/>
          <c:tx>
            <c:v>刘家峡水位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'1975-1976'!$A$2:$A$25</c:f>
              <c:numCache>
                <c:formatCode>General</c:formatCode>
                <c:ptCount val="24"/>
                <c:pt idx="0">
                  <c:v>1975</c:v>
                </c:pt>
                <c:pt idx="12">
                  <c:v>1976</c:v>
                </c:pt>
              </c:numCache>
            </c:numRef>
          </c:cat>
          <c:val>
            <c:numRef>
              <c:f>'1975-1976'!$K$2:$K$25</c:f>
              <c:numCache>
                <c:formatCode>General</c:formatCode>
                <c:ptCount val="24"/>
                <c:pt idx="0">
                  <c:v>1727.5819059287601</c:v>
                </c:pt>
                <c:pt idx="1">
                  <c:v>1709.44591343109</c:v>
                </c:pt>
                <c:pt idx="2">
                  <c:v>1733.90021969801</c:v>
                </c:pt>
                <c:pt idx="3">
                  <c:v>1736.3380247490099</c:v>
                </c:pt>
                <c:pt idx="4">
                  <c:v>1734.3304222894501</c:v>
                </c:pt>
                <c:pt idx="5">
                  <c:v>1732.1712180956199</c:v>
                </c:pt>
                <c:pt idx="6">
                  <c:v>1722.2066079358799</c:v>
                </c:pt>
                <c:pt idx="7">
                  <c:v>1730.9307381490501</c:v>
                </c:pt>
                <c:pt idx="8">
                  <c:v>1732.5298614153701</c:v>
                </c:pt>
                <c:pt idx="9">
                  <c:v>1731.66142714332</c:v>
                </c:pt>
                <c:pt idx="10">
                  <c:v>1728.23995189792</c:v>
                </c:pt>
                <c:pt idx="11">
                  <c:v>1733.0815810618101</c:v>
                </c:pt>
                <c:pt idx="12">
                  <c:v>1716.9230851571499</c:v>
                </c:pt>
                <c:pt idx="13">
                  <c:v>1702.5060488798099</c:v>
                </c:pt>
                <c:pt idx="14">
                  <c:v>1734.54177723114</c:v>
                </c:pt>
                <c:pt idx="15">
                  <c:v>1733.6667668068401</c:v>
                </c:pt>
                <c:pt idx="16">
                  <c:v>1734.3794157504999</c:v>
                </c:pt>
                <c:pt idx="17">
                  <c:v>1734.4117939658199</c:v>
                </c:pt>
                <c:pt idx="18">
                  <c:v>1734.27587354299</c:v>
                </c:pt>
                <c:pt idx="19">
                  <c:v>1732.0840863574299</c:v>
                </c:pt>
                <c:pt idx="20">
                  <c:v>1730.94489149793</c:v>
                </c:pt>
                <c:pt idx="21">
                  <c:v>1727.0677747096299</c:v>
                </c:pt>
                <c:pt idx="22">
                  <c:v>1725.25584829734</c:v>
                </c:pt>
                <c:pt idx="23">
                  <c:v>1720.27901689542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5-4022-9B86-A6CD782F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水位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</a:t>
                </a:r>
                <a:r>
                  <a:rPr lang="en-GB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38302877141421698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26</xdr:row>
      <xdr:rowOff>3810</xdr:rowOff>
    </xdr:from>
    <xdr:to>
      <xdr:col>6</xdr:col>
      <xdr:colOff>350520</xdr:colOff>
      <xdr:row>40</xdr:row>
      <xdr:rowOff>139700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41</xdr:row>
      <xdr:rowOff>169545</xdr:rowOff>
    </xdr:from>
    <xdr:to>
      <xdr:col>7</xdr:col>
      <xdr:colOff>340995</xdr:colOff>
      <xdr:row>57</xdr:row>
      <xdr:rowOff>179070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175260</xdr:colOff>
      <xdr:row>47</xdr:row>
      <xdr:rowOff>114300</xdr:rowOff>
    </xdr:from>
    <xdr:to>
      <xdr:col>14</xdr:col>
      <xdr:colOff>335915</xdr:colOff>
      <xdr:row>63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487680</xdr:colOff>
      <xdr:row>29</xdr:row>
      <xdr:rowOff>161925</xdr:rowOff>
    </xdr:from>
    <xdr:to>
      <xdr:col>14</xdr:col>
      <xdr:colOff>467995</xdr:colOff>
      <xdr:row>45</xdr:row>
      <xdr:rowOff>48260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9"/>
  <sheetViews>
    <sheetView tabSelected="1" workbookViewId="0">
      <selection activeCell="V17" sqref="V17"/>
    </sheetView>
  </sheetViews>
  <sheetFormatPr defaultColWidth="9" defaultRowHeight="14.4" x14ac:dyDescent="0.25"/>
  <cols>
    <col min="3" max="3" width="11.6640625" bestFit="1" customWidth="1"/>
    <col min="7" max="7" width="12.6640625"/>
    <col min="13" max="14" width="12.6640625"/>
    <col min="17" max="17" width="13.77734375" style="3"/>
    <col min="18" max="18" width="9" style="3"/>
    <col min="20" max="29" width="12.6640625"/>
    <col min="30" max="30" width="11.44140625"/>
    <col min="31" max="32" width="12.6640625"/>
    <col min="33" max="33" width="13.77734375"/>
  </cols>
  <sheetData>
    <row r="1" spans="1:33" x14ac:dyDescent="0.25">
      <c r="A1" t="s">
        <v>0</v>
      </c>
      <c r="B1" t="s">
        <v>1</v>
      </c>
      <c r="C1" s="2" t="s">
        <v>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3" t="s">
        <v>15</v>
      </c>
    </row>
    <row r="2" spans="1:33" x14ac:dyDescent="0.25">
      <c r="A2">
        <v>1975</v>
      </c>
      <c r="B2">
        <v>7</v>
      </c>
      <c r="C2">
        <v>2310</v>
      </c>
      <c r="D2">
        <v>2317.2763199276401</v>
      </c>
      <c r="E2">
        <v>2574.93713259582</v>
      </c>
      <c r="F2">
        <v>1147.23277603425</v>
      </c>
      <c r="G2">
        <v>853541185.36948204</v>
      </c>
      <c r="H2">
        <v>29.9251289529419</v>
      </c>
      <c r="I2">
        <v>2566.2763199276401</v>
      </c>
      <c r="J2">
        <v>2265.96</v>
      </c>
      <c r="K2">
        <v>1727.5819059287601</v>
      </c>
      <c r="L2">
        <v>1471.0788017248501</v>
      </c>
      <c r="M2">
        <v>1094482628.48329</v>
      </c>
      <c r="N2">
        <v>10.444688640000001</v>
      </c>
      <c r="O2">
        <v>2599.96</v>
      </c>
      <c r="P2">
        <v>0</v>
      </c>
      <c r="Q2" s="3">
        <f>ABS(2600-O2)/2600*100</f>
        <v>1.5384615384601401E-3</v>
      </c>
      <c r="R2" s="3">
        <f t="shared" ref="R2:R25" si="0">IF(F2+L2&gt;1000,1,0)</f>
        <v>1</v>
      </c>
      <c r="AG2" s="1"/>
    </row>
    <row r="3" spans="1:33" x14ac:dyDescent="0.25">
      <c r="B3">
        <v>8</v>
      </c>
      <c r="C3">
        <v>1840</v>
      </c>
      <c r="D3">
        <v>1238.91678792519</v>
      </c>
      <c r="E3">
        <v>2579.8836834703702</v>
      </c>
      <c r="F3">
        <v>1195.7766805071999</v>
      </c>
      <c r="G3">
        <v>889657850.29736304</v>
      </c>
      <c r="H3">
        <v>1.04234724778828</v>
      </c>
      <c r="I3">
        <v>1531.91678792519</v>
      </c>
      <c r="J3">
        <v>2118.73171599444</v>
      </c>
      <c r="K3">
        <v>1709.44591343109</v>
      </c>
      <c r="L3">
        <v>1412.8847909158501</v>
      </c>
      <c r="M3">
        <v>1051186284.44139</v>
      </c>
      <c r="N3">
        <v>6.5013262811950803</v>
      </c>
      <c r="O3">
        <v>2309.73171599444</v>
      </c>
      <c r="P3">
        <v>0</v>
      </c>
      <c r="Q3" s="3">
        <f>ABS(2600-O3)/2600*100</f>
        <v>11.1641647694446</v>
      </c>
      <c r="R3" s="3">
        <f t="shared" si="0"/>
        <v>1</v>
      </c>
      <c r="AG3" s="1"/>
    </row>
    <row r="4" spans="1:33" x14ac:dyDescent="0.25">
      <c r="B4">
        <v>9</v>
      </c>
      <c r="C4">
        <v>1690</v>
      </c>
      <c r="D4">
        <v>1151.3515745648201</v>
      </c>
      <c r="E4">
        <v>2583.9103688533</v>
      </c>
      <c r="F4">
        <v>1192.3237069772799</v>
      </c>
      <c r="G4">
        <v>858473069.02364504</v>
      </c>
      <c r="H4">
        <v>0</v>
      </c>
      <c r="I4">
        <v>1574.3515745648201</v>
      </c>
      <c r="J4">
        <v>667.6</v>
      </c>
      <c r="K4">
        <v>1733.90021969801</v>
      </c>
      <c r="L4">
        <v>535.68651628158</v>
      </c>
      <c r="M4">
        <v>385694291.72273803</v>
      </c>
      <c r="N4">
        <v>0</v>
      </c>
      <c r="O4">
        <v>932.6</v>
      </c>
      <c r="P4">
        <v>0</v>
      </c>
      <c r="R4" s="3">
        <f t="shared" si="0"/>
        <v>1</v>
      </c>
      <c r="AG4" s="1"/>
    </row>
    <row r="5" spans="1:33" x14ac:dyDescent="0.25">
      <c r="B5">
        <v>10</v>
      </c>
      <c r="C5">
        <v>1970</v>
      </c>
      <c r="D5">
        <v>809.06456170028196</v>
      </c>
      <c r="E5">
        <v>2592.2226964414899</v>
      </c>
      <c r="F5">
        <v>886.86476913849197</v>
      </c>
      <c r="G5">
        <v>659827388.23903799</v>
      </c>
      <c r="H5">
        <v>0</v>
      </c>
      <c r="I5">
        <v>1280.0645617002799</v>
      </c>
      <c r="J5">
        <v>1161.6551940853101</v>
      </c>
      <c r="K5">
        <v>1736.3380247490099</v>
      </c>
      <c r="L5">
        <v>1027.6692463034799</v>
      </c>
      <c r="M5">
        <v>764585919.24979103</v>
      </c>
      <c r="N5">
        <v>0</v>
      </c>
      <c r="O5">
        <v>1403.6551940853101</v>
      </c>
      <c r="P5">
        <v>0</v>
      </c>
      <c r="R5" s="3">
        <f t="shared" si="0"/>
        <v>1</v>
      </c>
      <c r="AG5" s="1"/>
    </row>
    <row r="6" spans="1:33" x14ac:dyDescent="0.25">
      <c r="B6">
        <v>11</v>
      </c>
      <c r="C6">
        <v>862</v>
      </c>
      <c r="D6">
        <v>381.59404848213001</v>
      </c>
      <c r="E6">
        <v>2595.3632270073199</v>
      </c>
      <c r="F6">
        <v>443.76277739832301</v>
      </c>
      <c r="G6">
        <v>319509199.72679198</v>
      </c>
      <c r="H6">
        <v>0</v>
      </c>
      <c r="I6">
        <v>600.59404848213001</v>
      </c>
      <c r="J6">
        <v>701.6</v>
      </c>
      <c r="K6">
        <v>1734.3304222894501</v>
      </c>
      <c r="L6">
        <v>627.95865667837597</v>
      </c>
      <c r="M6">
        <v>452130232.80843002</v>
      </c>
      <c r="N6">
        <v>0</v>
      </c>
      <c r="O6">
        <v>803.6</v>
      </c>
      <c r="P6">
        <v>0</v>
      </c>
      <c r="R6" s="3">
        <f t="shared" si="0"/>
        <v>1</v>
      </c>
      <c r="AG6" s="1"/>
    </row>
    <row r="7" spans="1:33" x14ac:dyDescent="0.25">
      <c r="B7">
        <v>12</v>
      </c>
      <c r="C7">
        <v>345</v>
      </c>
      <c r="D7">
        <v>818.770529035099</v>
      </c>
      <c r="E7">
        <v>2592.1614310998998</v>
      </c>
      <c r="F7">
        <v>935.43977414059702</v>
      </c>
      <c r="G7">
        <v>695967191.96060395</v>
      </c>
      <c r="H7">
        <v>0</v>
      </c>
      <c r="I7">
        <v>910.770529035099</v>
      </c>
      <c r="J7">
        <v>1013.44649920062</v>
      </c>
      <c r="K7">
        <v>1732.1712180956199</v>
      </c>
      <c r="L7">
        <v>882.69864137744696</v>
      </c>
      <c r="M7">
        <v>656727789.18482006</v>
      </c>
      <c r="N7">
        <v>0</v>
      </c>
      <c r="O7">
        <v>1063.4464992006201</v>
      </c>
      <c r="P7">
        <v>0</v>
      </c>
      <c r="R7" s="3">
        <f t="shared" si="0"/>
        <v>1</v>
      </c>
      <c r="AG7" s="1"/>
    </row>
    <row r="8" spans="1:33" x14ac:dyDescent="0.25">
      <c r="B8">
        <v>1</v>
      </c>
      <c r="C8">
        <v>249</v>
      </c>
      <c r="D8">
        <v>331.03947427537702</v>
      </c>
      <c r="E8">
        <v>2591.5964340770802</v>
      </c>
      <c r="F8">
        <v>380.86615788910501</v>
      </c>
      <c r="G8">
        <v>283364421.46949399</v>
      </c>
      <c r="H8">
        <v>0</v>
      </c>
      <c r="I8">
        <v>394.03947427537702</v>
      </c>
      <c r="J8">
        <v>822.89054038791505</v>
      </c>
      <c r="K8">
        <v>1722.2066079358799</v>
      </c>
      <c r="L8">
        <v>680.41645530427104</v>
      </c>
      <c r="M8">
        <v>506229842.74637699</v>
      </c>
      <c r="N8">
        <v>0</v>
      </c>
      <c r="O8">
        <v>862.89054038791505</v>
      </c>
      <c r="P8">
        <v>0</v>
      </c>
      <c r="R8" s="3">
        <f t="shared" si="0"/>
        <v>1</v>
      </c>
      <c r="AG8" s="1"/>
    </row>
    <row r="9" spans="1:33" x14ac:dyDescent="0.25">
      <c r="B9">
        <v>2</v>
      </c>
      <c r="C9">
        <v>250</v>
      </c>
      <c r="D9">
        <v>732.94230437420504</v>
      </c>
      <c r="E9">
        <v>2588.6500039010998</v>
      </c>
      <c r="F9">
        <v>817.38891660751403</v>
      </c>
      <c r="G9">
        <v>529668017.96166903</v>
      </c>
      <c r="H9">
        <v>0</v>
      </c>
      <c r="I9">
        <v>797.94230437420504</v>
      </c>
      <c r="J9">
        <v>371.95242733621302</v>
      </c>
      <c r="K9">
        <v>1730.9307381490501</v>
      </c>
      <c r="L9">
        <v>310.63630893910602</v>
      </c>
      <c r="M9">
        <v>201292328.19253999</v>
      </c>
      <c r="N9">
        <v>0</v>
      </c>
      <c r="O9">
        <v>415.95242733621302</v>
      </c>
      <c r="P9">
        <v>0</v>
      </c>
      <c r="R9" s="3">
        <f t="shared" si="0"/>
        <v>1</v>
      </c>
      <c r="AG9" s="1"/>
    </row>
    <row r="10" spans="1:33" x14ac:dyDescent="0.25">
      <c r="B10">
        <v>3</v>
      </c>
      <c r="C10">
        <v>318</v>
      </c>
      <c r="D10">
        <v>823.90367374248603</v>
      </c>
      <c r="E10">
        <v>2584.9805252296301</v>
      </c>
      <c r="F10">
        <v>893.71947320185905</v>
      </c>
      <c r="G10">
        <v>664927288.06218302</v>
      </c>
      <c r="H10">
        <v>0</v>
      </c>
      <c r="I10">
        <v>888.90367374248603</v>
      </c>
      <c r="J10">
        <v>814.22255061667101</v>
      </c>
      <c r="K10">
        <v>1732.5298614153701</v>
      </c>
      <c r="L10">
        <v>702.35568389697698</v>
      </c>
      <c r="M10">
        <v>522552628.81935102</v>
      </c>
      <c r="N10">
        <v>0</v>
      </c>
      <c r="O10">
        <v>875.22255061667101</v>
      </c>
      <c r="P10">
        <v>0</v>
      </c>
      <c r="R10" s="3">
        <f t="shared" si="0"/>
        <v>1</v>
      </c>
      <c r="S10">
        <f>R10+R9+R8+R7+R6</f>
        <v>5</v>
      </c>
      <c r="AG10" s="1"/>
    </row>
    <row r="11" spans="1:33" x14ac:dyDescent="0.25">
      <c r="B11">
        <v>4</v>
      </c>
      <c r="C11">
        <v>449</v>
      </c>
      <c r="D11">
        <v>821.52424479595197</v>
      </c>
      <c r="E11">
        <v>2582.2640178290198</v>
      </c>
      <c r="F11">
        <v>869.38206744653598</v>
      </c>
      <c r="G11">
        <v>625955088.56150603</v>
      </c>
      <c r="H11">
        <v>0</v>
      </c>
      <c r="I11">
        <v>955.52424479595197</v>
      </c>
      <c r="J11">
        <v>997.57965982707003</v>
      </c>
      <c r="K11">
        <v>1731.66142714332</v>
      </c>
      <c r="L11">
        <v>859.48057964503903</v>
      </c>
      <c r="M11">
        <v>618826017.34442794</v>
      </c>
      <c r="N11">
        <v>0</v>
      </c>
      <c r="O11">
        <v>1093.5796598270699</v>
      </c>
      <c r="P11">
        <v>0</v>
      </c>
      <c r="R11" s="3">
        <f t="shared" si="0"/>
        <v>1</v>
      </c>
      <c r="AG11" s="1"/>
    </row>
    <row r="12" spans="1:33" x14ac:dyDescent="0.25">
      <c r="B12">
        <v>5</v>
      </c>
      <c r="C12">
        <v>661</v>
      </c>
      <c r="D12">
        <v>889.478780491061</v>
      </c>
      <c r="E12">
        <v>2580.4836725720302</v>
      </c>
      <c r="F12">
        <v>922.922584690137</v>
      </c>
      <c r="G12">
        <v>686654403.00946105</v>
      </c>
      <c r="H12">
        <v>0</v>
      </c>
      <c r="I12">
        <v>1039.47878049106</v>
      </c>
      <c r="J12">
        <v>1195.4299447810899</v>
      </c>
      <c r="K12">
        <v>1728.23995189792</v>
      </c>
      <c r="L12">
        <v>1005.92325262702</v>
      </c>
      <c r="M12">
        <v>748406899.95450699</v>
      </c>
      <c r="N12">
        <v>0</v>
      </c>
      <c r="O12">
        <v>1288.4299447810899</v>
      </c>
      <c r="P12">
        <v>0</v>
      </c>
      <c r="R12" s="3">
        <f t="shared" si="0"/>
        <v>1</v>
      </c>
      <c r="AG12" s="1"/>
    </row>
    <row r="13" spans="1:33" x14ac:dyDescent="0.25">
      <c r="B13">
        <v>6</v>
      </c>
      <c r="C13">
        <v>1140</v>
      </c>
      <c r="D13">
        <v>1195.7835221709699</v>
      </c>
      <c r="E13">
        <v>2580.0584052500599</v>
      </c>
      <c r="F13">
        <v>1220.7002000166201</v>
      </c>
      <c r="G13">
        <v>878904144.01197004</v>
      </c>
      <c r="H13">
        <v>0</v>
      </c>
      <c r="I13">
        <v>1519.7835221709699</v>
      </c>
      <c r="J13">
        <v>1289.64039760068</v>
      </c>
      <c r="K13">
        <v>1733.0815810618101</v>
      </c>
      <c r="L13">
        <v>1091.6958566613</v>
      </c>
      <c r="M13">
        <v>786021016.796139</v>
      </c>
      <c r="N13">
        <v>0</v>
      </c>
      <c r="O13">
        <v>1475.64039760068</v>
      </c>
      <c r="P13">
        <v>0</v>
      </c>
      <c r="R13" s="3">
        <f t="shared" si="0"/>
        <v>1</v>
      </c>
      <c r="AG13" s="1"/>
    </row>
    <row r="14" spans="1:33" x14ac:dyDescent="0.25">
      <c r="A14">
        <v>1976</v>
      </c>
      <c r="B14">
        <v>7</v>
      </c>
      <c r="C14">
        <v>1500</v>
      </c>
      <c r="D14">
        <v>1151.0185659599799</v>
      </c>
      <c r="E14">
        <v>2582.7730561655799</v>
      </c>
      <c r="F14">
        <v>1187.22962029214</v>
      </c>
      <c r="G14">
        <v>883298837.49735796</v>
      </c>
      <c r="H14">
        <v>0</v>
      </c>
      <c r="I14">
        <v>1439.0185659599799</v>
      </c>
      <c r="J14">
        <v>2085.5198986547598</v>
      </c>
      <c r="K14">
        <v>1716.9230851571499</v>
      </c>
      <c r="L14">
        <v>1502.1315975346599</v>
      </c>
      <c r="M14">
        <v>1117585908.5657899</v>
      </c>
      <c r="N14">
        <v>5.6117809655690802</v>
      </c>
      <c r="O14">
        <v>2348.5198986547598</v>
      </c>
      <c r="P14">
        <v>0</v>
      </c>
      <c r="Q14" s="3">
        <f>ABS(2600-O14)/2600*100</f>
        <v>9.6723115902015504</v>
      </c>
      <c r="R14" s="3">
        <f t="shared" si="0"/>
        <v>1</v>
      </c>
      <c r="AG14" s="1"/>
    </row>
    <row r="15" spans="1:33" x14ac:dyDescent="0.25">
      <c r="B15">
        <v>8</v>
      </c>
      <c r="C15">
        <v>1940</v>
      </c>
      <c r="D15">
        <v>1232.6320818742099</v>
      </c>
      <c r="E15">
        <v>2587.9899576049002</v>
      </c>
      <c r="F15">
        <v>1275.31009229246</v>
      </c>
      <c r="G15">
        <v>948830708.665591</v>
      </c>
      <c r="H15">
        <v>0.87401768091883802</v>
      </c>
      <c r="I15">
        <v>2057.6320818742101</v>
      </c>
      <c r="J15">
        <v>2394.97778948526</v>
      </c>
      <c r="K15">
        <v>1702.5060488798099</v>
      </c>
      <c r="L15">
        <v>1258.91295665909</v>
      </c>
      <c r="M15">
        <v>936631239.75436795</v>
      </c>
      <c r="N15">
        <v>13.9003011135732</v>
      </c>
      <c r="O15">
        <v>2852.97778948526</v>
      </c>
      <c r="P15">
        <v>0</v>
      </c>
      <c r="Q15" s="3">
        <f>ABS(2600-O15)/2600*100</f>
        <v>9.7299149802023095</v>
      </c>
      <c r="R15" s="3">
        <f t="shared" si="0"/>
        <v>1</v>
      </c>
      <c r="AG15" s="1"/>
    </row>
    <row r="16" spans="1:33" x14ac:dyDescent="0.25">
      <c r="B16">
        <v>9</v>
      </c>
      <c r="C16">
        <v>1880</v>
      </c>
      <c r="D16">
        <v>1120.7430109960301</v>
      </c>
      <c r="E16">
        <v>2593.1154450133999</v>
      </c>
      <c r="F16">
        <v>1241.92369397117</v>
      </c>
      <c r="G16">
        <v>894185059.65924799</v>
      </c>
      <c r="H16">
        <v>0</v>
      </c>
      <c r="I16">
        <v>1717.7430109960301</v>
      </c>
      <c r="J16">
        <v>628.83588836888396</v>
      </c>
      <c r="K16">
        <v>1734.54177723114</v>
      </c>
      <c r="L16">
        <v>497.65001090813399</v>
      </c>
      <c r="M16">
        <v>358308007.85385698</v>
      </c>
      <c r="N16">
        <v>0</v>
      </c>
      <c r="O16">
        <v>946.83588836888396</v>
      </c>
      <c r="P16">
        <v>0</v>
      </c>
      <c r="R16" s="3">
        <f t="shared" si="0"/>
        <v>1</v>
      </c>
      <c r="AG16" s="1"/>
    </row>
    <row r="17" spans="2:33" x14ac:dyDescent="0.25">
      <c r="B17">
        <v>10</v>
      </c>
      <c r="C17">
        <v>995</v>
      </c>
      <c r="D17">
        <v>913.88445253570001</v>
      </c>
      <c r="E17">
        <v>2593.6652253530501</v>
      </c>
      <c r="F17">
        <v>1038.6972470671201</v>
      </c>
      <c r="G17">
        <v>772790751.81794298</v>
      </c>
      <c r="H17">
        <v>0</v>
      </c>
      <c r="I17">
        <v>1189.8844525356999</v>
      </c>
      <c r="J17">
        <v>1231.90498356433</v>
      </c>
      <c r="K17">
        <v>1733.6667668068401</v>
      </c>
      <c r="L17">
        <v>1078.3624720826199</v>
      </c>
      <c r="M17">
        <v>802301679.22947395</v>
      </c>
      <c r="N17">
        <v>0</v>
      </c>
      <c r="O17">
        <v>1416.90498356433</v>
      </c>
      <c r="P17">
        <v>0</v>
      </c>
      <c r="R17" s="3">
        <f t="shared" si="0"/>
        <v>1</v>
      </c>
      <c r="AG17" s="1"/>
    </row>
    <row r="18" spans="2:33" x14ac:dyDescent="0.25">
      <c r="B18">
        <v>11</v>
      </c>
      <c r="C18">
        <v>512</v>
      </c>
      <c r="D18">
        <v>789.19310647043596</v>
      </c>
      <c r="E18">
        <v>2591.8340877781998</v>
      </c>
      <c r="F18">
        <v>895.68485694154799</v>
      </c>
      <c r="G18">
        <v>644893096.99791503</v>
      </c>
      <c r="H18">
        <v>0</v>
      </c>
      <c r="I18">
        <v>930.19310647043596</v>
      </c>
      <c r="J18">
        <v>894.85521917933102</v>
      </c>
      <c r="K18">
        <v>1734.3794157504999</v>
      </c>
      <c r="L18">
        <v>787.32375536281199</v>
      </c>
      <c r="M18">
        <v>566873103.86122501</v>
      </c>
      <c r="N18">
        <v>0</v>
      </c>
      <c r="O18">
        <v>976.85521917933102</v>
      </c>
      <c r="P18">
        <v>0</v>
      </c>
      <c r="R18" s="3">
        <f t="shared" si="0"/>
        <v>1</v>
      </c>
      <c r="AG18" s="1"/>
    </row>
    <row r="19" spans="2:33" x14ac:dyDescent="0.25">
      <c r="B19">
        <v>12</v>
      </c>
      <c r="C19">
        <v>263</v>
      </c>
      <c r="D19">
        <v>799.99629201032803</v>
      </c>
      <c r="E19">
        <v>2588.0666553708002</v>
      </c>
      <c r="F19">
        <v>889.14454414763998</v>
      </c>
      <c r="G19">
        <v>661523540.84584403</v>
      </c>
      <c r="H19">
        <v>0</v>
      </c>
      <c r="I19">
        <v>891.99629201032803</v>
      </c>
      <c r="J19">
        <v>890.43729769325898</v>
      </c>
      <c r="K19">
        <v>1734.4117939658199</v>
      </c>
      <c r="L19">
        <v>786.27263770268996</v>
      </c>
      <c r="M19">
        <v>584986842.45080101</v>
      </c>
      <c r="N19">
        <v>0</v>
      </c>
      <c r="O19">
        <v>944.43729769325898</v>
      </c>
      <c r="P19">
        <v>0</v>
      </c>
      <c r="R19" s="3">
        <f t="shared" si="0"/>
        <v>1</v>
      </c>
      <c r="AG19" s="1"/>
    </row>
    <row r="20" spans="2:33" x14ac:dyDescent="0.25">
      <c r="B20">
        <v>1</v>
      </c>
      <c r="C20">
        <v>199</v>
      </c>
      <c r="D20">
        <v>451.54050867638398</v>
      </c>
      <c r="E20">
        <v>2586.24123780745</v>
      </c>
      <c r="F20">
        <v>498.30603913879003</v>
      </c>
      <c r="G20">
        <v>370739693.119259</v>
      </c>
      <c r="H20">
        <v>0</v>
      </c>
      <c r="I20">
        <v>519.54050867638398</v>
      </c>
      <c r="J20">
        <v>526.08215387562598</v>
      </c>
      <c r="K20">
        <v>1734.27587354299</v>
      </c>
      <c r="L20">
        <v>469.18968039440102</v>
      </c>
      <c r="M20">
        <v>349077122.21343398</v>
      </c>
      <c r="N20">
        <v>0</v>
      </c>
      <c r="O20">
        <v>567.08215387562598</v>
      </c>
      <c r="P20">
        <v>0</v>
      </c>
      <c r="R20" s="3">
        <f t="shared" si="0"/>
        <v>0</v>
      </c>
      <c r="AG20" s="1"/>
    </row>
    <row r="21" spans="2:33" x14ac:dyDescent="0.25">
      <c r="B21">
        <v>2</v>
      </c>
      <c r="C21">
        <v>186</v>
      </c>
      <c r="D21">
        <v>771.81827412853795</v>
      </c>
      <c r="E21">
        <v>2582.4304603396299</v>
      </c>
      <c r="F21">
        <v>822.66646468346005</v>
      </c>
      <c r="G21">
        <v>533087869.11488199</v>
      </c>
      <c r="H21">
        <v>0</v>
      </c>
      <c r="I21">
        <v>839.81827412853795</v>
      </c>
      <c r="J21">
        <v>959.38285824816501</v>
      </c>
      <c r="K21">
        <v>1732.0840863574299</v>
      </c>
      <c r="L21">
        <v>836.07217039071395</v>
      </c>
      <c r="M21">
        <v>541774766.41318297</v>
      </c>
      <c r="N21">
        <v>0</v>
      </c>
      <c r="O21">
        <v>1005.38285824816</v>
      </c>
      <c r="P21">
        <v>0</v>
      </c>
      <c r="R21" s="3">
        <f t="shared" si="0"/>
        <v>1</v>
      </c>
      <c r="AG21" s="1"/>
    </row>
    <row r="22" spans="2:33" x14ac:dyDescent="0.25">
      <c r="B22">
        <v>3</v>
      </c>
      <c r="C22">
        <v>279</v>
      </c>
      <c r="D22">
        <v>1012.20804163201</v>
      </c>
      <c r="E22">
        <v>2576.5692021217101</v>
      </c>
      <c r="F22">
        <v>1031.4986369834901</v>
      </c>
      <c r="G22">
        <v>767434985.91571999</v>
      </c>
      <c r="H22">
        <v>0</v>
      </c>
      <c r="I22">
        <v>1080.20804163201</v>
      </c>
      <c r="J22">
        <v>1133.29451227296</v>
      </c>
      <c r="K22">
        <v>1730.94489149793</v>
      </c>
      <c r="L22">
        <v>969.00524366551804</v>
      </c>
      <c r="M22">
        <v>720939901.28714502</v>
      </c>
      <c r="N22">
        <v>0</v>
      </c>
      <c r="O22">
        <v>1184.29451227296</v>
      </c>
      <c r="P22">
        <v>0</v>
      </c>
      <c r="R22" s="3">
        <f t="shared" si="0"/>
        <v>1</v>
      </c>
      <c r="S22">
        <f>R22+R21+R20+R19+R18</f>
        <v>4</v>
      </c>
      <c r="AG22" s="1"/>
    </row>
    <row r="23" spans="2:33" x14ac:dyDescent="0.25">
      <c r="B23">
        <v>4</v>
      </c>
      <c r="C23">
        <v>643</v>
      </c>
      <c r="D23">
        <v>795.53615131960396</v>
      </c>
      <c r="E23">
        <v>2575.3305257933698</v>
      </c>
      <c r="F23">
        <v>791.77814907522099</v>
      </c>
      <c r="G23">
        <v>570080267.33415902</v>
      </c>
      <c r="H23">
        <v>0</v>
      </c>
      <c r="I23">
        <v>942.53615131960396</v>
      </c>
      <c r="J23">
        <v>1122.1142767009301</v>
      </c>
      <c r="K23">
        <v>1727.0677747096299</v>
      </c>
      <c r="L23">
        <v>936.55102493593597</v>
      </c>
      <c r="M23">
        <v>674316737.95387399</v>
      </c>
      <c r="N23">
        <v>0</v>
      </c>
      <c r="O23">
        <v>1200.1142767009301</v>
      </c>
      <c r="P23">
        <v>0</v>
      </c>
      <c r="R23" s="3">
        <f t="shared" si="0"/>
        <v>1</v>
      </c>
      <c r="AG23" s="1"/>
    </row>
    <row r="24" spans="2:33" x14ac:dyDescent="0.25">
      <c r="B24">
        <v>5</v>
      </c>
      <c r="C24">
        <v>854</v>
      </c>
      <c r="D24">
        <v>954.58761464636098</v>
      </c>
      <c r="E24">
        <v>2574.4743520286302</v>
      </c>
      <c r="F24">
        <v>937.37222517601595</v>
      </c>
      <c r="G24">
        <v>697404935.53095603</v>
      </c>
      <c r="H24">
        <v>0</v>
      </c>
      <c r="I24">
        <v>1221.58761464636</v>
      </c>
      <c r="J24">
        <v>1298.68287292492</v>
      </c>
      <c r="K24">
        <v>1725.25584829734</v>
      </c>
      <c r="L24">
        <v>1050.36903230236</v>
      </c>
      <c r="M24">
        <v>781474560.032956</v>
      </c>
      <c r="N24">
        <v>0</v>
      </c>
      <c r="O24">
        <v>1418.68287292492</v>
      </c>
      <c r="P24">
        <v>0</v>
      </c>
      <c r="R24" s="3">
        <f t="shared" si="0"/>
        <v>1</v>
      </c>
      <c r="AG24" s="1"/>
    </row>
    <row r="25" spans="2:33" x14ac:dyDescent="0.25">
      <c r="B25">
        <v>6</v>
      </c>
      <c r="C25">
        <v>967</v>
      </c>
      <c r="D25">
        <v>903.36154663438197</v>
      </c>
      <c r="E25">
        <v>2575</v>
      </c>
      <c r="F25">
        <v>887.15596591504595</v>
      </c>
      <c r="G25">
        <v>638752295.45883298</v>
      </c>
      <c r="H25">
        <v>0</v>
      </c>
      <c r="I25">
        <v>1101.3615466343799</v>
      </c>
      <c r="J25">
        <v>1298.9438007173601</v>
      </c>
      <c r="K25">
        <v>1720.27901689542</v>
      </c>
      <c r="L25">
        <v>1015.01409521375</v>
      </c>
      <c r="M25">
        <v>730810148.55390501</v>
      </c>
      <c r="N25">
        <v>0</v>
      </c>
      <c r="O25">
        <v>1458.9438007173601</v>
      </c>
      <c r="P25">
        <v>0</v>
      </c>
      <c r="R25" s="3">
        <f t="shared" si="0"/>
        <v>1</v>
      </c>
      <c r="AG25" s="1"/>
    </row>
    <row r="26" spans="2:33" x14ac:dyDescent="0.25">
      <c r="G26">
        <f>SUM(G2:G25)/100000000</f>
        <v>163.294712896509</v>
      </c>
      <c r="H26">
        <f>SUM(H2:H25)</f>
        <v>31.841493881649001</v>
      </c>
      <c r="M26">
        <f>SUM(M2:M25)/100000000</f>
        <v>159.53215897913799</v>
      </c>
      <c r="N26">
        <f>SUM(N2:N25)</f>
        <v>36.458097000337403</v>
      </c>
      <c r="AG26" s="1"/>
    </row>
    <row r="27" spans="2:33" x14ac:dyDescent="0.25">
      <c r="M27">
        <f>G26+M26</f>
        <v>322.82687187564699</v>
      </c>
      <c r="N27">
        <f>H26+N26</f>
        <v>68.299590881986404</v>
      </c>
      <c r="AG27" s="1"/>
    </row>
    <row r="28" spans="2:33" x14ac:dyDescent="0.25">
      <c r="AG28" s="1"/>
    </row>
    <row r="29" spans="2:33" x14ac:dyDescent="0.25">
      <c r="AG29" s="1"/>
    </row>
    <row r="30" spans="2:33" x14ac:dyDescent="0.25">
      <c r="AG30" s="1"/>
    </row>
    <row r="31" spans="2:33" x14ac:dyDescent="0.25">
      <c r="AG31" s="1"/>
    </row>
    <row r="32" spans="2:33" x14ac:dyDescent="0.25">
      <c r="AG32" s="1"/>
    </row>
    <row r="33" spans="33:33" x14ac:dyDescent="0.25">
      <c r="AG33" s="1"/>
    </row>
    <row r="34" spans="33:33" x14ac:dyDescent="0.25">
      <c r="AG34" s="1"/>
    </row>
    <row r="35" spans="33:33" x14ac:dyDescent="0.25">
      <c r="AG35" s="1"/>
    </row>
    <row r="36" spans="33:33" x14ac:dyDescent="0.25">
      <c r="AG36" s="1"/>
    </row>
    <row r="37" spans="33:33" x14ac:dyDescent="0.25">
      <c r="AG37" s="1"/>
    </row>
    <row r="38" spans="33:33" x14ac:dyDescent="0.25">
      <c r="AG38" s="1"/>
    </row>
    <row r="39" spans="33:33" x14ac:dyDescent="0.25">
      <c r="AG39" s="1"/>
    </row>
    <row r="40" spans="33:33" x14ac:dyDescent="0.25">
      <c r="AG40" s="1"/>
    </row>
    <row r="41" spans="33:33" x14ac:dyDescent="0.25">
      <c r="AG41" s="1"/>
    </row>
    <row r="42" spans="33:33" x14ac:dyDescent="0.25">
      <c r="AG42" s="1"/>
    </row>
    <row r="43" spans="33:33" x14ac:dyDescent="0.25">
      <c r="AG43" s="1"/>
    </row>
    <row r="44" spans="33:33" x14ac:dyDescent="0.25">
      <c r="AG44" s="1"/>
    </row>
    <row r="45" spans="33:33" x14ac:dyDescent="0.25">
      <c r="AG45" s="1"/>
    </row>
    <row r="46" spans="33:33" x14ac:dyDescent="0.25">
      <c r="AG46" s="1"/>
    </row>
    <row r="47" spans="33:33" x14ac:dyDescent="0.25">
      <c r="AG47" s="1"/>
    </row>
    <row r="48" spans="33:33" x14ac:dyDescent="0.25">
      <c r="AG48" s="1"/>
    </row>
    <row r="49" spans="33:33" x14ac:dyDescent="0.25">
      <c r="AG49" s="1"/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1975-1976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晓</cp:lastModifiedBy>
  <dcterms:created xsi:type="dcterms:W3CDTF">2023-05-12T11:15:00Z</dcterms:created>
  <dcterms:modified xsi:type="dcterms:W3CDTF">2026-08-15T14:48:36Z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9B261C08E281415AA8FA2EDEF8C9012A_13</vt:lpwstr>
  </property>
  <property fmtid="{D5CDD505-2E9C-101B-9397-08002B2CF9AE}" pid="4" name="CalculationRule">
    <vt:i4>0</vt:i4>
  </property>
</Properties>
</file>